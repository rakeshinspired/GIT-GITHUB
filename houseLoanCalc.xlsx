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smith\Downloads\"/>
    </mc:Choice>
  </mc:AlternateContent>
  <xr:revisionPtr revIDLastSave="0" documentId="13_ncr:1_{6A0BF237-D16D-43E7-B006-3A03F0DBF5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" i="1"/>
  <c r="F2" i="1"/>
  <c r="E2" i="1" s="1"/>
  <c r="H2" i="1"/>
  <c r="C3" i="1" s="1"/>
  <c r="F3" i="1" l="1"/>
  <c r="E3" i="1" s="1"/>
  <c r="H3" i="1" s="1"/>
  <c r="C4" i="1" s="1"/>
  <c r="F4" i="1" l="1"/>
  <c r="E4" i="1" s="1"/>
  <c r="H4" i="1" s="1"/>
  <c r="C5" i="1" s="1"/>
  <c r="F5" i="1" l="1"/>
  <c r="E5" i="1" s="1"/>
  <c r="H5" i="1" s="1"/>
  <c r="C6" i="1" s="1"/>
  <c r="F6" i="1" l="1"/>
  <c r="E6" i="1" s="1"/>
  <c r="H6" i="1" s="1"/>
  <c r="C7" i="1" s="1"/>
  <c r="F7" i="1" l="1"/>
  <c r="E7" i="1" s="1"/>
  <c r="H7" i="1" s="1"/>
  <c r="C8" i="1" s="1"/>
  <c r="F8" i="1" l="1"/>
  <c r="E8" i="1" s="1"/>
  <c r="H8" i="1" s="1"/>
  <c r="C9" i="1" s="1"/>
  <c r="F9" i="1" l="1"/>
  <c r="E9" i="1" s="1"/>
  <c r="H9" i="1" s="1"/>
  <c r="C10" i="1" s="1"/>
  <c r="F10" i="1" l="1"/>
  <c r="E10" i="1" s="1"/>
  <c r="H10" i="1" s="1"/>
  <c r="C11" i="1" s="1"/>
  <c r="F11" i="1" l="1"/>
  <c r="E11" i="1" s="1"/>
  <c r="H11" i="1" s="1"/>
  <c r="C12" i="1" s="1"/>
  <c r="F12" i="1" l="1"/>
  <c r="E12" i="1" s="1"/>
  <c r="H12" i="1" s="1"/>
  <c r="C13" i="1" s="1"/>
  <c r="F13" i="1" l="1"/>
  <c r="E13" i="1" s="1"/>
  <c r="H13" i="1" s="1"/>
  <c r="C14" i="1" s="1"/>
  <c r="F14" i="1" l="1"/>
  <c r="E14" i="1" s="1"/>
  <c r="H14" i="1" s="1"/>
  <c r="C15" i="1" s="1"/>
  <c r="F15" i="1" l="1"/>
  <c r="E15" i="1" s="1"/>
  <c r="H15" i="1" s="1"/>
  <c r="C16" i="1" s="1"/>
  <c r="F16" i="1" l="1"/>
  <c r="E16" i="1" s="1"/>
  <c r="H16" i="1" s="1"/>
  <c r="C17" i="1" s="1"/>
  <c r="F17" i="1" l="1"/>
  <c r="E17" i="1" s="1"/>
  <c r="H17" i="1" s="1"/>
  <c r="C18" i="1" s="1"/>
  <c r="F18" i="1" l="1"/>
  <c r="E18" i="1" s="1"/>
  <c r="H18" i="1" s="1"/>
  <c r="C19" i="1" s="1"/>
  <c r="F19" i="1" l="1"/>
  <c r="E19" i="1" s="1"/>
  <c r="H19" i="1" s="1"/>
  <c r="C20" i="1" s="1"/>
  <c r="F20" i="1" l="1"/>
  <c r="E20" i="1" s="1"/>
  <c r="H20" i="1" s="1"/>
  <c r="C21" i="1" s="1"/>
  <c r="F21" i="1" l="1"/>
  <c r="E21" i="1" s="1"/>
  <c r="H21" i="1" s="1"/>
  <c r="C22" i="1" s="1"/>
  <c r="F22" i="1" l="1"/>
  <c r="E22" i="1" s="1"/>
  <c r="H22" i="1" s="1"/>
  <c r="C23" i="1" s="1"/>
  <c r="F23" i="1" l="1"/>
  <c r="E23" i="1" s="1"/>
  <c r="H23" i="1" s="1"/>
  <c r="C24" i="1" s="1"/>
  <c r="F24" i="1" l="1"/>
  <c r="E24" i="1" s="1"/>
  <c r="H24" i="1" s="1"/>
  <c r="C25" i="1" s="1"/>
  <c r="F25" i="1" l="1"/>
  <c r="E25" i="1" s="1"/>
  <c r="H25" i="1" s="1"/>
  <c r="C26" i="1" s="1"/>
  <c r="F26" i="1" l="1"/>
  <c r="E26" i="1" s="1"/>
  <c r="H26" i="1" s="1"/>
  <c r="C27" i="1" s="1"/>
  <c r="F27" i="1" l="1"/>
  <c r="E27" i="1" s="1"/>
  <c r="H27" i="1" s="1"/>
  <c r="C28" i="1" s="1"/>
  <c r="F28" i="1" l="1"/>
  <c r="E28" i="1" s="1"/>
  <c r="H28" i="1" s="1"/>
  <c r="C29" i="1" s="1"/>
  <c r="F29" i="1" l="1"/>
  <c r="E29" i="1" s="1"/>
  <c r="H29" i="1" s="1"/>
  <c r="C30" i="1" s="1"/>
  <c r="F30" i="1" l="1"/>
  <c r="E30" i="1" s="1"/>
  <c r="H30" i="1" s="1"/>
  <c r="C31" i="1" s="1"/>
  <c r="F31" i="1" l="1"/>
  <c r="E31" i="1" s="1"/>
  <c r="H31" i="1" s="1"/>
  <c r="C32" i="1" s="1"/>
  <c r="F32" i="1" l="1"/>
  <c r="E32" i="1" s="1"/>
  <c r="H32" i="1" s="1"/>
  <c r="C33" i="1" s="1"/>
  <c r="F33" i="1" l="1"/>
  <c r="E33" i="1" s="1"/>
  <c r="H33" i="1" s="1"/>
  <c r="C34" i="1" s="1"/>
  <c r="F34" i="1" l="1"/>
  <c r="E34" i="1" s="1"/>
  <c r="H34" i="1" s="1"/>
  <c r="C35" i="1" s="1"/>
  <c r="F35" i="1" l="1"/>
  <c r="E35" i="1" s="1"/>
  <c r="H35" i="1" s="1"/>
  <c r="C36" i="1" s="1"/>
  <c r="F36" i="1" l="1"/>
  <c r="E36" i="1" s="1"/>
  <c r="H36" i="1" s="1"/>
  <c r="C37" i="1" s="1"/>
  <c r="F37" i="1" l="1"/>
  <c r="E37" i="1" s="1"/>
  <c r="H37" i="1" s="1"/>
  <c r="C38" i="1" s="1"/>
  <c r="F38" i="1" l="1"/>
  <c r="E38" i="1" s="1"/>
  <c r="H38" i="1" s="1"/>
  <c r="C39" i="1" s="1"/>
  <c r="F39" i="1" l="1"/>
  <c r="E39" i="1" s="1"/>
  <c r="H39" i="1" s="1"/>
  <c r="C40" i="1" s="1"/>
  <c r="F40" i="1" l="1"/>
  <c r="E40" i="1" s="1"/>
  <c r="H40" i="1" s="1"/>
  <c r="C41" i="1" s="1"/>
  <c r="F41" i="1" l="1"/>
  <c r="E41" i="1" s="1"/>
  <c r="H41" i="1" s="1"/>
  <c r="C42" i="1" s="1"/>
  <c r="F42" i="1" l="1"/>
  <c r="E42" i="1" s="1"/>
  <c r="H42" i="1" s="1"/>
  <c r="C43" i="1" s="1"/>
  <c r="F43" i="1" l="1"/>
  <c r="E43" i="1" s="1"/>
  <c r="H43" i="1" s="1"/>
  <c r="C44" i="1" s="1"/>
  <c r="F44" i="1" l="1"/>
  <c r="E44" i="1" s="1"/>
  <c r="H44" i="1" s="1"/>
  <c r="C45" i="1" s="1"/>
  <c r="F45" i="1" l="1"/>
  <c r="E45" i="1" s="1"/>
  <c r="H45" i="1" s="1"/>
  <c r="C46" i="1" s="1"/>
  <c r="F46" i="1" l="1"/>
  <c r="E46" i="1" s="1"/>
  <c r="H46" i="1" s="1"/>
  <c r="C47" i="1" s="1"/>
  <c r="F47" i="1" l="1"/>
  <c r="E47" i="1" s="1"/>
  <c r="H47" i="1" s="1"/>
  <c r="C48" i="1" s="1"/>
  <c r="F48" i="1" l="1"/>
  <c r="E48" i="1" s="1"/>
  <c r="H48" i="1" s="1"/>
  <c r="C49" i="1" s="1"/>
  <c r="F49" i="1" l="1"/>
  <c r="E49" i="1" s="1"/>
  <c r="H49" i="1" s="1"/>
  <c r="C50" i="1" s="1"/>
  <c r="F50" i="1" l="1"/>
  <c r="E50" i="1" s="1"/>
  <c r="H50" i="1" s="1"/>
  <c r="C51" i="1" s="1"/>
  <c r="F51" i="1" l="1"/>
  <c r="E51" i="1" s="1"/>
  <c r="H51" i="1" s="1"/>
  <c r="C52" i="1" s="1"/>
  <c r="F52" i="1" l="1"/>
  <c r="E52" i="1" s="1"/>
  <c r="H52" i="1" s="1"/>
  <c r="C53" i="1" s="1"/>
  <c r="F53" i="1" l="1"/>
  <c r="E53" i="1" s="1"/>
  <c r="H53" i="1" s="1"/>
  <c r="C54" i="1" s="1"/>
  <c r="F54" i="1" l="1"/>
  <c r="E54" i="1" s="1"/>
  <c r="H54" i="1" s="1"/>
  <c r="C55" i="1" s="1"/>
  <c r="F55" i="1" l="1"/>
  <c r="E55" i="1" s="1"/>
  <c r="H55" i="1" s="1"/>
  <c r="C56" i="1" s="1"/>
  <c r="F56" i="1" l="1"/>
  <c r="E56" i="1" s="1"/>
  <c r="H56" i="1" s="1"/>
  <c r="C57" i="1" s="1"/>
  <c r="F57" i="1" l="1"/>
  <c r="E57" i="1" s="1"/>
  <c r="H57" i="1" s="1"/>
  <c r="C58" i="1" s="1"/>
  <c r="F58" i="1" l="1"/>
  <c r="E58" i="1" s="1"/>
  <c r="H58" i="1" s="1"/>
  <c r="C59" i="1" s="1"/>
  <c r="F59" i="1" l="1"/>
  <c r="E59" i="1" s="1"/>
  <c r="H59" i="1" s="1"/>
  <c r="C60" i="1" s="1"/>
  <c r="F60" i="1" l="1"/>
  <c r="E60" i="1" s="1"/>
  <c r="H60" i="1" s="1"/>
  <c r="C61" i="1" s="1"/>
  <c r="F61" i="1" l="1"/>
  <c r="E61" i="1" s="1"/>
  <c r="H61" i="1" s="1"/>
  <c r="C62" i="1" s="1"/>
  <c r="F62" i="1" l="1"/>
  <c r="E62" i="1" s="1"/>
  <c r="H62" i="1" s="1"/>
  <c r="C63" i="1" s="1"/>
  <c r="F63" i="1" l="1"/>
  <c r="E63" i="1" s="1"/>
  <c r="H63" i="1" s="1"/>
  <c r="C64" i="1" s="1"/>
  <c r="F64" i="1" l="1"/>
  <c r="E64" i="1" s="1"/>
  <c r="H64" i="1" s="1"/>
  <c r="C65" i="1" s="1"/>
  <c r="F65" i="1" l="1"/>
  <c r="E65" i="1" s="1"/>
  <c r="H65" i="1" s="1"/>
  <c r="C66" i="1" s="1"/>
  <c r="F66" i="1" l="1"/>
  <c r="E66" i="1" s="1"/>
  <c r="H66" i="1" s="1"/>
  <c r="C67" i="1" s="1"/>
  <c r="F67" i="1" l="1"/>
  <c r="E67" i="1" s="1"/>
  <c r="H67" i="1" s="1"/>
  <c r="C68" i="1" s="1"/>
  <c r="F68" i="1" l="1"/>
  <c r="E68" i="1" s="1"/>
  <c r="H68" i="1" s="1"/>
  <c r="C69" i="1" s="1"/>
  <c r="F69" i="1" l="1"/>
  <c r="E69" i="1" s="1"/>
  <c r="H69" i="1" s="1"/>
  <c r="C70" i="1" s="1"/>
  <c r="F70" i="1" l="1"/>
  <c r="E70" i="1" s="1"/>
  <c r="H70" i="1" s="1"/>
  <c r="C71" i="1" s="1"/>
  <c r="F71" i="1" l="1"/>
  <c r="E71" i="1" s="1"/>
  <c r="H71" i="1" s="1"/>
  <c r="C72" i="1" s="1"/>
  <c r="F72" i="1" l="1"/>
  <c r="E72" i="1" s="1"/>
  <c r="H72" i="1" s="1"/>
  <c r="C73" i="1" s="1"/>
  <c r="F73" i="1" l="1"/>
  <c r="E73" i="1" s="1"/>
  <c r="H73" i="1" s="1"/>
  <c r="C74" i="1" s="1"/>
  <c r="F74" i="1" l="1"/>
  <c r="E74" i="1" s="1"/>
  <c r="H74" i="1" s="1"/>
  <c r="C75" i="1" s="1"/>
  <c r="F75" i="1" l="1"/>
  <c r="E75" i="1" s="1"/>
  <c r="H75" i="1" s="1"/>
  <c r="C76" i="1" s="1"/>
  <c r="F76" i="1" l="1"/>
  <c r="E76" i="1" s="1"/>
  <c r="H76" i="1" s="1"/>
  <c r="C77" i="1" s="1"/>
  <c r="F77" i="1" l="1"/>
  <c r="E77" i="1" s="1"/>
  <c r="H77" i="1" s="1"/>
  <c r="C78" i="1" s="1"/>
  <c r="F78" i="1" l="1"/>
  <c r="E78" i="1" s="1"/>
  <c r="H78" i="1" s="1"/>
  <c r="C79" i="1" s="1"/>
  <c r="F79" i="1" l="1"/>
  <c r="E79" i="1" s="1"/>
  <c r="H79" i="1" s="1"/>
  <c r="C80" i="1" s="1"/>
  <c r="F80" i="1" l="1"/>
  <c r="E80" i="1" s="1"/>
  <c r="H80" i="1" s="1"/>
  <c r="C81" i="1" s="1"/>
  <c r="F81" i="1" l="1"/>
  <c r="E81" i="1" s="1"/>
  <c r="H81" i="1" s="1"/>
  <c r="C82" i="1" s="1"/>
  <c r="F82" i="1" l="1"/>
  <c r="E82" i="1" s="1"/>
  <c r="H82" i="1" s="1"/>
  <c r="C83" i="1" s="1"/>
  <c r="F83" i="1" l="1"/>
  <c r="E83" i="1" s="1"/>
  <c r="H83" i="1" s="1"/>
  <c r="C84" i="1" s="1"/>
  <c r="F84" i="1" l="1"/>
  <c r="E84" i="1" s="1"/>
  <c r="H84" i="1" s="1"/>
  <c r="C85" i="1" s="1"/>
  <c r="F85" i="1" l="1"/>
  <c r="E85" i="1" s="1"/>
  <c r="H85" i="1" s="1"/>
  <c r="C86" i="1" s="1"/>
  <c r="F86" i="1" l="1"/>
  <c r="E86" i="1" s="1"/>
  <c r="H86" i="1" s="1"/>
  <c r="C87" i="1" s="1"/>
  <c r="F87" i="1" l="1"/>
  <c r="E87" i="1" s="1"/>
  <c r="H87" i="1" s="1"/>
  <c r="C88" i="1" s="1"/>
  <c r="F88" i="1" l="1"/>
  <c r="E88" i="1" s="1"/>
  <c r="H88" i="1" s="1"/>
  <c r="C89" i="1" s="1"/>
  <c r="F89" i="1" l="1"/>
  <c r="E89" i="1" s="1"/>
  <c r="H89" i="1" s="1"/>
  <c r="C90" i="1" s="1"/>
  <c r="F90" i="1" l="1"/>
  <c r="E90" i="1" s="1"/>
  <c r="H90" i="1" s="1"/>
  <c r="C91" i="1" s="1"/>
  <c r="F91" i="1" l="1"/>
  <c r="E91" i="1" s="1"/>
  <c r="H91" i="1" s="1"/>
  <c r="C92" i="1" s="1"/>
  <c r="F92" i="1" l="1"/>
  <c r="E92" i="1" s="1"/>
  <c r="H92" i="1" s="1"/>
  <c r="C93" i="1" s="1"/>
  <c r="F93" i="1" l="1"/>
  <c r="E93" i="1" s="1"/>
  <c r="H93" i="1" s="1"/>
  <c r="C94" i="1" s="1"/>
  <c r="F94" i="1" l="1"/>
  <c r="E94" i="1" s="1"/>
  <c r="H94" i="1" s="1"/>
  <c r="C95" i="1" s="1"/>
  <c r="F95" i="1" l="1"/>
  <c r="E95" i="1" s="1"/>
  <c r="H95" i="1" s="1"/>
  <c r="C96" i="1" s="1"/>
  <c r="F96" i="1" l="1"/>
  <c r="E96" i="1" s="1"/>
  <c r="H96" i="1" s="1"/>
  <c r="C97" i="1" s="1"/>
  <c r="F97" i="1" l="1"/>
  <c r="E97" i="1" s="1"/>
  <c r="H97" i="1" s="1"/>
  <c r="C98" i="1" s="1"/>
  <c r="F98" i="1" l="1"/>
  <c r="E98" i="1" s="1"/>
  <c r="H98" i="1" s="1"/>
  <c r="C99" i="1" s="1"/>
  <c r="F99" i="1" l="1"/>
  <c r="E99" i="1" s="1"/>
  <c r="H99" i="1"/>
  <c r="C100" i="1" s="1"/>
  <c r="F100" i="1" l="1"/>
  <c r="E100" i="1" s="1"/>
  <c r="H100" i="1" s="1"/>
  <c r="C101" i="1" s="1"/>
  <c r="F101" i="1" l="1"/>
  <c r="E101" i="1" s="1"/>
  <c r="H101" i="1" s="1"/>
  <c r="C102" i="1" s="1"/>
  <c r="F102" i="1" l="1"/>
  <c r="E102" i="1" s="1"/>
  <c r="H102" i="1" s="1"/>
  <c r="C103" i="1" s="1"/>
  <c r="F103" i="1" l="1"/>
  <c r="E103" i="1" s="1"/>
  <c r="H103" i="1" s="1"/>
  <c r="C104" i="1" s="1"/>
  <c r="F104" i="1" l="1"/>
  <c r="E104" i="1" s="1"/>
  <c r="H104" i="1" s="1"/>
  <c r="C105" i="1" s="1"/>
  <c r="F105" i="1" l="1"/>
  <c r="E105" i="1" s="1"/>
  <c r="H105" i="1" s="1"/>
  <c r="C106" i="1" s="1"/>
  <c r="F106" i="1" l="1"/>
  <c r="E106" i="1" s="1"/>
  <c r="H106" i="1" s="1"/>
  <c r="C107" i="1" s="1"/>
  <c r="F107" i="1" l="1"/>
  <c r="E107" i="1" s="1"/>
  <c r="H107" i="1"/>
  <c r="C108" i="1" s="1"/>
  <c r="F108" i="1" l="1"/>
  <c r="E108" i="1" s="1"/>
  <c r="H108" i="1" s="1"/>
  <c r="C109" i="1" s="1"/>
  <c r="F109" i="1" l="1"/>
  <c r="E109" i="1" s="1"/>
  <c r="H109" i="1" s="1"/>
  <c r="C110" i="1" s="1"/>
  <c r="F110" i="1" l="1"/>
  <c r="E110" i="1" s="1"/>
  <c r="H110" i="1" s="1"/>
  <c r="C111" i="1" s="1"/>
  <c r="F111" i="1" l="1"/>
  <c r="E111" i="1" s="1"/>
  <c r="H111" i="1" s="1"/>
  <c r="C112" i="1" s="1"/>
  <c r="F112" i="1" l="1"/>
  <c r="E112" i="1" s="1"/>
  <c r="H112" i="1" s="1"/>
  <c r="C113" i="1" s="1"/>
  <c r="F113" i="1" l="1"/>
  <c r="E113" i="1" s="1"/>
  <c r="H113" i="1" s="1"/>
  <c r="C114" i="1" s="1"/>
  <c r="F114" i="1" l="1"/>
  <c r="E114" i="1" s="1"/>
  <c r="H114" i="1" s="1"/>
  <c r="C115" i="1" s="1"/>
  <c r="F115" i="1" l="1"/>
  <c r="E115" i="1" s="1"/>
  <c r="H115" i="1" s="1"/>
  <c r="C116" i="1" s="1"/>
  <c r="F116" i="1" l="1"/>
  <c r="E116" i="1" s="1"/>
  <c r="H116" i="1" s="1"/>
  <c r="C117" i="1" s="1"/>
  <c r="F117" i="1" l="1"/>
  <c r="E117" i="1" s="1"/>
  <c r="H117" i="1"/>
  <c r="C118" i="1" s="1"/>
  <c r="F118" i="1" l="1"/>
  <c r="E118" i="1" s="1"/>
  <c r="H118" i="1" s="1"/>
  <c r="C119" i="1" s="1"/>
  <c r="F119" i="1" l="1"/>
  <c r="E119" i="1" s="1"/>
  <c r="H119" i="1" s="1"/>
  <c r="C120" i="1" s="1"/>
  <c r="F120" i="1" l="1"/>
  <c r="E120" i="1" s="1"/>
  <c r="H120" i="1" s="1"/>
  <c r="C121" i="1" s="1"/>
  <c r="F121" i="1" l="1"/>
  <c r="E121" i="1" s="1"/>
  <c r="H121" i="1" s="1"/>
  <c r="C122" i="1" s="1"/>
  <c r="F122" i="1" l="1"/>
  <c r="E122" i="1" s="1"/>
  <c r="H122" i="1" s="1"/>
  <c r="C123" i="1" s="1"/>
  <c r="F123" i="1" l="1"/>
  <c r="E123" i="1" s="1"/>
  <c r="H123" i="1" s="1"/>
  <c r="C124" i="1" s="1"/>
  <c r="F124" i="1" l="1"/>
  <c r="E124" i="1" s="1"/>
  <c r="H124" i="1" s="1"/>
  <c r="C125" i="1" s="1"/>
  <c r="F125" i="1" l="1"/>
  <c r="E125" i="1" s="1"/>
  <c r="H125" i="1" s="1"/>
  <c r="C126" i="1" s="1"/>
  <c r="F126" i="1" l="1"/>
  <c r="E126" i="1" s="1"/>
  <c r="H126" i="1" s="1"/>
  <c r="C127" i="1" s="1"/>
  <c r="F127" i="1" l="1"/>
  <c r="E127" i="1" s="1"/>
  <c r="H127" i="1" s="1"/>
  <c r="C128" i="1" s="1"/>
  <c r="F128" i="1" l="1"/>
  <c r="E128" i="1" s="1"/>
  <c r="H128" i="1" s="1"/>
  <c r="C129" i="1" s="1"/>
  <c r="F129" i="1" l="1"/>
  <c r="E129" i="1" s="1"/>
  <c r="H129" i="1" s="1"/>
  <c r="C130" i="1" s="1"/>
  <c r="F130" i="1" l="1"/>
  <c r="E130" i="1" s="1"/>
  <c r="H130" i="1" s="1"/>
  <c r="C131" i="1" s="1"/>
  <c r="F131" i="1" l="1"/>
  <c r="E131" i="1" s="1"/>
  <c r="H131" i="1" s="1"/>
  <c r="C132" i="1" s="1"/>
  <c r="F132" i="1" l="1"/>
  <c r="E132" i="1" s="1"/>
  <c r="H132" i="1" s="1"/>
  <c r="C133" i="1" s="1"/>
  <c r="F133" i="1" l="1"/>
  <c r="E133" i="1" s="1"/>
  <c r="H133" i="1" s="1"/>
  <c r="C134" i="1" s="1"/>
  <c r="F134" i="1" l="1"/>
  <c r="E134" i="1" s="1"/>
  <c r="H134" i="1" s="1"/>
  <c r="C135" i="1" s="1"/>
  <c r="F135" i="1" l="1"/>
  <c r="E135" i="1" s="1"/>
  <c r="H135" i="1" s="1"/>
  <c r="C136" i="1" s="1"/>
  <c r="F136" i="1" l="1"/>
  <c r="E136" i="1" s="1"/>
  <c r="H136" i="1" s="1"/>
  <c r="C137" i="1" s="1"/>
  <c r="F137" i="1" l="1"/>
  <c r="E137" i="1" s="1"/>
  <c r="H137" i="1" s="1"/>
  <c r="C138" i="1" s="1"/>
  <c r="F138" i="1" l="1"/>
  <c r="E138" i="1" s="1"/>
  <c r="H138" i="1" s="1"/>
  <c r="C139" i="1" s="1"/>
  <c r="F139" i="1" l="1"/>
  <c r="E139" i="1" s="1"/>
  <c r="H139" i="1" s="1"/>
  <c r="C140" i="1" s="1"/>
  <c r="F140" i="1" l="1"/>
  <c r="E140" i="1" s="1"/>
  <c r="H140" i="1" s="1"/>
  <c r="C141" i="1" s="1"/>
  <c r="F141" i="1" l="1"/>
  <c r="E141" i="1" s="1"/>
  <c r="H141" i="1" s="1"/>
  <c r="C142" i="1" s="1"/>
  <c r="F142" i="1" l="1"/>
  <c r="E142" i="1" s="1"/>
  <c r="H142" i="1" s="1"/>
  <c r="C143" i="1" s="1"/>
  <c r="F143" i="1" l="1"/>
  <c r="E143" i="1" s="1"/>
  <c r="H143" i="1" s="1"/>
  <c r="C144" i="1" s="1"/>
  <c r="F144" i="1" l="1"/>
  <c r="E144" i="1" s="1"/>
  <c r="H144" i="1" s="1"/>
  <c r="C145" i="1" s="1"/>
  <c r="F145" i="1" l="1"/>
  <c r="E145" i="1" s="1"/>
  <c r="H145" i="1" s="1"/>
  <c r="C146" i="1" s="1"/>
  <c r="F146" i="1" l="1"/>
  <c r="E146" i="1" s="1"/>
  <c r="H146" i="1" s="1"/>
  <c r="C147" i="1" s="1"/>
  <c r="F147" i="1" l="1"/>
  <c r="E147" i="1" s="1"/>
  <c r="H147" i="1" s="1"/>
  <c r="C148" i="1" s="1"/>
  <c r="F148" i="1" l="1"/>
  <c r="E148" i="1" s="1"/>
  <c r="H148" i="1" s="1"/>
  <c r="C149" i="1" s="1"/>
  <c r="F149" i="1" l="1"/>
  <c r="E149" i="1" s="1"/>
  <c r="H149" i="1" s="1"/>
  <c r="C150" i="1" s="1"/>
  <c r="F150" i="1" l="1"/>
  <c r="E150" i="1" s="1"/>
  <c r="H150" i="1" s="1"/>
  <c r="C151" i="1" s="1"/>
  <c r="F151" i="1" l="1"/>
  <c r="E151" i="1" s="1"/>
  <c r="H151" i="1" s="1"/>
  <c r="C152" i="1" s="1"/>
  <c r="F152" i="1" l="1"/>
  <c r="E152" i="1" s="1"/>
  <c r="H152" i="1" s="1"/>
  <c r="C153" i="1" s="1"/>
  <c r="F153" i="1" l="1"/>
  <c r="E153" i="1" s="1"/>
  <c r="H153" i="1" s="1"/>
  <c r="C154" i="1" s="1"/>
  <c r="F154" i="1" l="1"/>
  <c r="E154" i="1" s="1"/>
  <c r="H154" i="1" s="1"/>
  <c r="C155" i="1" s="1"/>
  <c r="F155" i="1" l="1"/>
  <c r="E155" i="1" s="1"/>
  <c r="H155" i="1" s="1"/>
  <c r="C156" i="1" s="1"/>
  <c r="F156" i="1" l="1"/>
  <c r="E156" i="1" s="1"/>
  <c r="H156" i="1" s="1"/>
  <c r="C157" i="1" s="1"/>
  <c r="F157" i="1" l="1"/>
  <c r="E157" i="1" s="1"/>
  <c r="H157" i="1" s="1"/>
  <c r="C158" i="1" s="1"/>
  <c r="F158" i="1" l="1"/>
  <c r="E158" i="1" s="1"/>
  <c r="H158" i="1" s="1"/>
  <c r="C159" i="1" s="1"/>
  <c r="F159" i="1" l="1"/>
  <c r="E159" i="1" s="1"/>
  <c r="H159" i="1" s="1"/>
  <c r="C160" i="1" s="1"/>
  <c r="F160" i="1" l="1"/>
  <c r="E160" i="1" s="1"/>
  <c r="H160" i="1" s="1"/>
  <c r="C161" i="1" s="1"/>
  <c r="F161" i="1" l="1"/>
  <c r="E161" i="1" s="1"/>
  <c r="H161" i="1" s="1"/>
  <c r="C162" i="1" s="1"/>
  <c r="F162" i="1" l="1"/>
  <c r="E162" i="1" s="1"/>
  <c r="H162" i="1" s="1"/>
  <c r="C163" i="1" s="1"/>
  <c r="F163" i="1" l="1"/>
  <c r="E163" i="1" s="1"/>
  <c r="H163" i="1" s="1"/>
  <c r="C164" i="1" s="1"/>
  <c r="F164" i="1" l="1"/>
  <c r="E164" i="1" s="1"/>
  <c r="H164" i="1" s="1"/>
  <c r="C165" i="1" s="1"/>
  <c r="F165" i="1" l="1"/>
  <c r="E165" i="1" s="1"/>
  <c r="H165" i="1" s="1"/>
  <c r="C166" i="1" s="1"/>
  <c r="F166" i="1" l="1"/>
  <c r="E166" i="1" s="1"/>
  <c r="H166" i="1" s="1"/>
  <c r="C167" i="1" s="1"/>
  <c r="F167" i="1" l="1"/>
  <c r="E167" i="1" s="1"/>
  <c r="H167" i="1" s="1"/>
  <c r="C168" i="1" s="1"/>
  <c r="F168" i="1" l="1"/>
  <c r="E168" i="1" s="1"/>
  <c r="H168" i="1" s="1"/>
  <c r="C169" i="1" s="1"/>
  <c r="F169" i="1" l="1"/>
  <c r="E169" i="1" s="1"/>
  <c r="H169" i="1" s="1"/>
  <c r="C170" i="1" s="1"/>
  <c r="F170" i="1" l="1"/>
  <c r="E170" i="1" s="1"/>
  <c r="H170" i="1" s="1"/>
  <c r="C171" i="1" s="1"/>
  <c r="F171" i="1" l="1"/>
  <c r="E171" i="1" s="1"/>
  <c r="H171" i="1" s="1"/>
  <c r="C172" i="1" s="1"/>
  <c r="F172" i="1" l="1"/>
  <c r="E172" i="1" s="1"/>
  <c r="H172" i="1" s="1"/>
  <c r="C173" i="1" s="1"/>
  <c r="F173" i="1" l="1"/>
  <c r="E173" i="1" s="1"/>
  <c r="H173" i="1" s="1"/>
  <c r="C174" i="1" s="1"/>
  <c r="F174" i="1" l="1"/>
  <c r="E174" i="1" s="1"/>
  <c r="H174" i="1" s="1"/>
  <c r="C175" i="1" s="1"/>
  <c r="F175" i="1" l="1"/>
  <c r="E175" i="1" s="1"/>
  <c r="H175" i="1" s="1"/>
  <c r="C176" i="1" s="1"/>
  <c r="F176" i="1" l="1"/>
  <c r="E176" i="1" s="1"/>
  <c r="H176" i="1" s="1"/>
  <c r="C177" i="1" s="1"/>
  <c r="F177" i="1" l="1"/>
  <c r="E177" i="1" s="1"/>
  <c r="H177" i="1" s="1"/>
  <c r="C178" i="1" s="1"/>
  <c r="F178" i="1" l="1"/>
  <c r="E178" i="1" s="1"/>
  <c r="H178" i="1" s="1"/>
  <c r="C179" i="1" s="1"/>
  <c r="F179" i="1" l="1"/>
  <c r="E179" i="1" s="1"/>
  <c r="H179" i="1" s="1"/>
  <c r="C180" i="1" s="1"/>
  <c r="F180" i="1" l="1"/>
  <c r="E180" i="1" s="1"/>
  <c r="H180" i="1" s="1"/>
  <c r="C181" i="1" s="1"/>
  <c r="F181" i="1" l="1"/>
  <c r="E181" i="1" s="1"/>
  <c r="H181" i="1" s="1"/>
  <c r="C182" i="1" s="1"/>
  <c r="F182" i="1" l="1"/>
  <c r="E182" i="1" s="1"/>
  <c r="H182" i="1" s="1"/>
  <c r="C183" i="1" s="1"/>
  <c r="F183" i="1" l="1"/>
  <c r="E183" i="1" s="1"/>
  <c r="H183" i="1" s="1"/>
  <c r="C184" i="1" s="1"/>
  <c r="F184" i="1" l="1"/>
  <c r="E184" i="1" s="1"/>
  <c r="H184" i="1" s="1"/>
  <c r="C185" i="1" s="1"/>
  <c r="F185" i="1" l="1"/>
  <c r="E185" i="1" s="1"/>
  <c r="H185" i="1" s="1"/>
  <c r="C186" i="1" s="1"/>
  <c r="F186" i="1" l="1"/>
  <c r="E186" i="1" s="1"/>
  <c r="H186" i="1" s="1"/>
  <c r="C187" i="1" s="1"/>
  <c r="F187" i="1" l="1"/>
  <c r="E187" i="1" s="1"/>
  <c r="H187" i="1" s="1"/>
  <c r="C188" i="1" s="1"/>
  <c r="F188" i="1" l="1"/>
  <c r="E188" i="1" s="1"/>
  <c r="H188" i="1" s="1"/>
  <c r="C189" i="1" s="1"/>
  <c r="F189" i="1" l="1"/>
  <c r="E189" i="1" s="1"/>
  <c r="H189" i="1" s="1"/>
  <c r="C190" i="1" s="1"/>
  <c r="F190" i="1" l="1"/>
  <c r="E190" i="1" s="1"/>
  <c r="H190" i="1" s="1"/>
  <c r="C191" i="1" s="1"/>
  <c r="F191" i="1" l="1"/>
  <c r="E191" i="1" s="1"/>
  <c r="H191" i="1" s="1"/>
  <c r="C192" i="1" s="1"/>
  <c r="F192" i="1" l="1"/>
  <c r="E192" i="1" s="1"/>
  <c r="H192" i="1" s="1"/>
  <c r="C193" i="1" s="1"/>
  <c r="F193" i="1" l="1"/>
  <c r="E193" i="1" s="1"/>
  <c r="H193" i="1" s="1"/>
  <c r="C194" i="1" s="1"/>
  <c r="F194" i="1" l="1"/>
  <c r="E194" i="1" s="1"/>
  <c r="H194" i="1" s="1"/>
  <c r="C195" i="1" s="1"/>
  <c r="F195" i="1" l="1"/>
  <c r="E195" i="1" s="1"/>
  <c r="H195" i="1" s="1"/>
  <c r="C196" i="1" s="1"/>
  <c r="F196" i="1" l="1"/>
  <c r="E196" i="1" s="1"/>
  <c r="H196" i="1" s="1"/>
  <c r="C197" i="1" s="1"/>
  <c r="F197" i="1" l="1"/>
  <c r="E197" i="1" s="1"/>
  <c r="H197" i="1" s="1"/>
  <c r="C198" i="1" s="1"/>
  <c r="F198" i="1" l="1"/>
  <c r="E198" i="1" s="1"/>
  <c r="H198" i="1" s="1"/>
  <c r="C199" i="1" s="1"/>
  <c r="F199" i="1" l="1"/>
  <c r="E199" i="1" s="1"/>
  <c r="H199" i="1" s="1"/>
  <c r="C200" i="1" s="1"/>
  <c r="F200" i="1" l="1"/>
  <c r="E200" i="1" s="1"/>
  <c r="H200" i="1" s="1"/>
  <c r="C201" i="1" s="1"/>
  <c r="F201" i="1" l="1"/>
  <c r="E201" i="1" s="1"/>
  <c r="H201" i="1" s="1"/>
  <c r="C202" i="1" s="1"/>
  <c r="F202" i="1" l="1"/>
  <c r="E202" i="1" s="1"/>
  <c r="H202" i="1" s="1"/>
  <c r="C203" i="1" s="1"/>
  <c r="F203" i="1" l="1"/>
  <c r="E203" i="1" s="1"/>
  <c r="H203" i="1" s="1"/>
  <c r="C204" i="1" s="1"/>
  <c r="F204" i="1" l="1"/>
  <c r="E204" i="1" s="1"/>
  <c r="H204" i="1" s="1"/>
  <c r="C205" i="1" s="1"/>
  <c r="F205" i="1" l="1"/>
  <c r="E205" i="1" s="1"/>
  <c r="H205" i="1" s="1"/>
  <c r="C206" i="1" s="1"/>
  <c r="F206" i="1" l="1"/>
  <c r="E206" i="1" s="1"/>
  <c r="H206" i="1" s="1"/>
  <c r="C207" i="1" s="1"/>
  <c r="F207" i="1" l="1"/>
  <c r="E207" i="1" s="1"/>
  <c r="H207" i="1" s="1"/>
  <c r="C208" i="1" s="1"/>
  <c r="F208" i="1" l="1"/>
  <c r="E208" i="1" s="1"/>
  <c r="H208" i="1" s="1"/>
  <c r="C209" i="1" s="1"/>
  <c r="F209" i="1" l="1"/>
  <c r="E209" i="1" s="1"/>
  <c r="H209" i="1" s="1"/>
  <c r="C210" i="1" s="1"/>
  <c r="F210" i="1" l="1"/>
  <c r="E210" i="1" s="1"/>
  <c r="H210" i="1" s="1"/>
  <c r="C211" i="1" s="1"/>
  <c r="F211" i="1" l="1"/>
  <c r="E211" i="1" s="1"/>
  <c r="H211" i="1" s="1"/>
  <c r="C212" i="1" s="1"/>
  <c r="F212" i="1" l="1"/>
  <c r="E212" i="1" s="1"/>
  <c r="H212" i="1" s="1"/>
  <c r="C213" i="1" s="1"/>
  <c r="F213" i="1" l="1"/>
  <c r="E213" i="1" s="1"/>
  <c r="H213" i="1" s="1"/>
  <c r="C214" i="1" s="1"/>
  <c r="F214" i="1" l="1"/>
  <c r="E214" i="1" s="1"/>
  <c r="H214" i="1" s="1"/>
  <c r="C215" i="1" s="1"/>
  <c r="F215" i="1" l="1"/>
  <c r="E215" i="1" s="1"/>
  <c r="H215" i="1" s="1"/>
  <c r="C216" i="1" s="1"/>
  <c r="F216" i="1" l="1"/>
  <c r="E216" i="1" s="1"/>
  <c r="H216" i="1" s="1"/>
  <c r="C217" i="1" s="1"/>
  <c r="F217" i="1" l="1"/>
  <c r="E217" i="1" s="1"/>
  <c r="H217" i="1" s="1"/>
  <c r="C218" i="1" s="1"/>
  <c r="F218" i="1" l="1"/>
  <c r="E218" i="1" s="1"/>
  <c r="H218" i="1" s="1"/>
  <c r="C219" i="1" s="1"/>
  <c r="F219" i="1" l="1"/>
  <c r="E219" i="1" s="1"/>
  <c r="H219" i="1" s="1"/>
  <c r="C220" i="1" s="1"/>
  <c r="F220" i="1" l="1"/>
  <c r="E220" i="1" s="1"/>
  <c r="H220" i="1" s="1"/>
  <c r="C221" i="1" s="1"/>
  <c r="F221" i="1" l="1"/>
  <c r="E221" i="1" s="1"/>
  <c r="H221" i="1" s="1"/>
  <c r="C222" i="1" s="1"/>
  <c r="F222" i="1" l="1"/>
  <c r="E222" i="1" s="1"/>
  <c r="H222" i="1" s="1"/>
  <c r="C223" i="1" s="1"/>
  <c r="F223" i="1" l="1"/>
  <c r="E223" i="1" s="1"/>
  <c r="H223" i="1" s="1"/>
  <c r="C224" i="1" s="1"/>
  <c r="F224" i="1" l="1"/>
  <c r="E224" i="1" s="1"/>
  <c r="H224" i="1" s="1"/>
  <c r="C225" i="1" s="1"/>
  <c r="F225" i="1" l="1"/>
  <c r="E225" i="1" s="1"/>
  <c r="H225" i="1" s="1"/>
  <c r="C226" i="1" s="1"/>
  <c r="F226" i="1" l="1"/>
  <c r="E226" i="1" s="1"/>
  <c r="H226" i="1" s="1"/>
  <c r="C227" i="1" s="1"/>
  <c r="F227" i="1" l="1"/>
  <c r="E227" i="1" s="1"/>
  <c r="H227" i="1" s="1"/>
  <c r="C228" i="1" s="1"/>
  <c r="F228" i="1" l="1"/>
  <c r="E228" i="1" s="1"/>
  <c r="H228" i="1" s="1"/>
  <c r="C229" i="1" s="1"/>
  <c r="F229" i="1" l="1"/>
  <c r="E229" i="1" s="1"/>
  <c r="H229" i="1" s="1"/>
  <c r="C230" i="1" s="1"/>
  <c r="F230" i="1" l="1"/>
  <c r="E230" i="1" s="1"/>
  <c r="H230" i="1" s="1"/>
  <c r="C231" i="1" s="1"/>
  <c r="F231" i="1" l="1"/>
  <c r="E231" i="1" s="1"/>
  <c r="H231" i="1" s="1"/>
  <c r="C232" i="1" s="1"/>
  <c r="F232" i="1" l="1"/>
  <c r="E232" i="1" s="1"/>
  <c r="H232" i="1" s="1"/>
  <c r="C233" i="1" s="1"/>
  <c r="F233" i="1" l="1"/>
  <c r="E233" i="1" s="1"/>
  <c r="H233" i="1" s="1"/>
  <c r="C234" i="1" s="1"/>
  <c r="F234" i="1" l="1"/>
  <c r="E234" i="1" s="1"/>
  <c r="H234" i="1" s="1"/>
  <c r="C235" i="1" s="1"/>
  <c r="F235" i="1" l="1"/>
  <c r="E235" i="1" s="1"/>
  <c r="H235" i="1" s="1"/>
  <c r="C236" i="1" s="1"/>
  <c r="F236" i="1" l="1"/>
  <c r="E236" i="1" s="1"/>
  <c r="H236" i="1" s="1"/>
  <c r="C237" i="1" s="1"/>
  <c r="F237" i="1" l="1"/>
  <c r="E237" i="1" s="1"/>
  <c r="H237" i="1" s="1"/>
  <c r="C238" i="1" s="1"/>
  <c r="F238" i="1" l="1"/>
  <c r="E238" i="1" s="1"/>
  <c r="H238" i="1" s="1"/>
  <c r="C239" i="1" s="1"/>
  <c r="F239" i="1" l="1"/>
  <c r="E239" i="1" s="1"/>
  <c r="H239" i="1" s="1"/>
  <c r="C240" i="1" s="1"/>
  <c r="F240" i="1" l="1"/>
  <c r="E240" i="1" s="1"/>
  <c r="H240" i="1" s="1"/>
  <c r="C241" i="1" s="1"/>
  <c r="F241" i="1" l="1"/>
  <c r="E241" i="1" s="1"/>
  <c r="H241" i="1" s="1"/>
  <c r="C242" i="1" s="1"/>
  <c r="F242" i="1" l="1"/>
  <c r="E242" i="1" s="1"/>
  <c r="H242" i="1" s="1"/>
</calcChain>
</file>

<file path=xl/sharedStrings.xml><?xml version="1.0" encoding="utf-8"?>
<sst xmlns="http://schemas.openxmlformats.org/spreadsheetml/2006/main" count="10" uniqueCount="10">
  <si>
    <t>Month</t>
  </si>
  <si>
    <t>MonthYear</t>
  </si>
  <si>
    <t>Beginning Loan Balance</t>
  </si>
  <si>
    <t>EMI</t>
  </si>
  <si>
    <t>Principal</t>
  </si>
  <si>
    <t>Monthly Interest</t>
  </si>
  <si>
    <t>Pre-Closure</t>
  </si>
  <si>
    <t>Outstanding Balance</t>
  </si>
  <si>
    <t>ROI</t>
  </si>
  <si>
    <t>RoIpM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</si>
</sst>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/>
    <xf numFmtId="1" fontId="1" fillId="0" borderId="1" xfId="0" applyNumberFormat="1" applyFont="1" applyBorder="1"/>
    <xf numFmtId="17" fontId="0" fillId="0" borderId="1" xfId="0" applyNumberFormat="1" applyBorder="1"/>
    <xf numFmtId="16" fontId="0" fillId="0" borderId="1" xfId="0" applyNumberFormat="1" applyBorder="1"/>
    <xf numFmtId="10" fontId="0" fillId="0" borderId="1" xfId="0" applyNumberFormat="1" applyBorder="1"/>
    <xf numFmtId="2" fontId="0" fillId="0" borderId="1" xfId="0" applyNumberFormat="1" applyBorder="1"/>
    <xf numFmtId="175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DB5F-364B-1842-A84E-284F8EF75CA2}">
  <dimension ref="A1:J242"/>
  <sheetViews>
    <sheetView tabSelected="1" topLeftCell="A48" zoomScaleNormal="60" zoomScaleSheetLayoutView="100" workbookViewId="0">
      <selection activeCell="H59" sqref="H59"/>
    </sheetView>
  </sheetViews>
  <sheetFormatPr defaultRowHeight="14.5" x14ac:dyDescent="0.35"/>
  <cols>
    <col min="2" max="2" width="10.453125" bestFit="1" customWidth="1"/>
    <col min="3" max="3" width="21" bestFit="1" customWidth="1"/>
    <col min="4" max="4" width="15.453125" bestFit="1" customWidth="1"/>
    <col min="5" max="5" width="16.453125" bestFit="1" customWidth="1"/>
    <col min="6" max="6" width="17.1796875" bestFit="1" customWidth="1"/>
    <col min="7" max="7" width="15" customWidth="1"/>
    <col min="8" max="8" width="18.54296875" style="1" bestFit="1" customWidth="1"/>
    <col min="9" max="9" width="9.7265625" bestFit="1" customWidth="1"/>
    <col min="10" max="10" width="12.4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 spans="1:10" x14ac:dyDescent="0.35">
      <c r="A2" s="2">
        <v>0</v>
      </c>
      <c r="B2" s="7">
        <v>44763</v>
      </c>
      <c r="C2" s="9">
        <v>3600000</v>
      </c>
      <c r="D2" s="9">
        <v>29500</v>
      </c>
      <c r="E2" s="9">
        <f t="shared" ref="E2" si="0">D2-F2</f>
        <v>7000.0000000000036</v>
      </c>
      <c r="F2" s="9">
        <f t="shared" ref="F2:F3" si="1">C2*J2</f>
        <v>22499.999999999996</v>
      </c>
      <c r="G2" s="2">
        <v>0</v>
      </c>
      <c r="H2" s="3">
        <f t="shared" ref="H2:H3" si="2">C2-E2-G2</f>
        <v>3593000</v>
      </c>
      <c r="I2" s="8">
        <v>7.4999999999999997E-2</v>
      </c>
      <c r="J2" s="10">
        <f>I2/12</f>
        <v>6.2499999999999995E-3</v>
      </c>
    </row>
    <row r="3" spans="1:10" x14ac:dyDescent="0.35">
      <c r="A3" s="2">
        <v>1</v>
      </c>
      <c r="B3" s="6">
        <v>44409</v>
      </c>
      <c r="C3" s="9">
        <f>H2</f>
        <v>3593000</v>
      </c>
      <c r="D3" s="9">
        <v>29001</v>
      </c>
      <c r="E3" s="9">
        <f>D3-F3</f>
        <v>6544.7500000000036</v>
      </c>
      <c r="F3" s="9">
        <f t="shared" si="1"/>
        <v>22456.249999999996</v>
      </c>
      <c r="G3" s="3">
        <v>0</v>
      </c>
      <c r="H3" s="3">
        <f t="shared" si="2"/>
        <v>3586455.25</v>
      </c>
      <c r="I3" s="8">
        <v>7.4999999999999997E-2</v>
      </c>
      <c r="J3" s="10">
        <f t="shared" ref="J3:J66" si="3">I3/12</f>
        <v>6.2499999999999995E-3</v>
      </c>
    </row>
    <row r="4" spans="1:10" x14ac:dyDescent="0.35">
      <c r="A4" s="2">
        <v>2</v>
      </c>
      <c r="B4" s="6">
        <v>44440</v>
      </c>
      <c r="C4" s="9">
        <f>H3</f>
        <v>3586455.25</v>
      </c>
      <c r="D4" s="9">
        <v>29001</v>
      </c>
      <c r="E4" s="9">
        <f>D4-F4</f>
        <v>6585.6546875000022</v>
      </c>
      <c r="F4" s="9">
        <f t="shared" ref="F4" si="4">C4*J4</f>
        <v>22415.345312499998</v>
      </c>
      <c r="G4" s="3">
        <v>0</v>
      </c>
      <c r="H4" s="3">
        <f t="shared" ref="H4:H67" si="5">C4-E4-G4</f>
        <v>3579869.5953124999</v>
      </c>
      <c r="I4" s="8">
        <v>7.4999999999999997E-2</v>
      </c>
      <c r="J4" s="10">
        <f t="shared" si="3"/>
        <v>6.2499999999999995E-3</v>
      </c>
    </row>
    <row r="5" spans="1:10" x14ac:dyDescent="0.35">
      <c r="A5" s="2">
        <v>3</v>
      </c>
      <c r="B5" s="6">
        <v>44470</v>
      </c>
      <c r="C5" s="9">
        <f t="shared" ref="C5:C68" si="6">H4</f>
        <v>3579869.5953124999</v>
      </c>
      <c r="D5" s="9">
        <v>29001</v>
      </c>
      <c r="E5" s="9">
        <f t="shared" ref="E5:E68" si="7">D5-F5</f>
        <v>6626.8150292968785</v>
      </c>
      <c r="F5" s="9">
        <f t="shared" ref="F5:F68" si="8">C5*J5</f>
        <v>22374.184970703122</v>
      </c>
      <c r="G5" s="2">
        <v>0</v>
      </c>
      <c r="H5" s="3">
        <f t="shared" si="5"/>
        <v>3573242.7802832029</v>
      </c>
      <c r="I5" s="8">
        <v>7.4999999999999997E-2</v>
      </c>
      <c r="J5" s="10">
        <f t="shared" si="3"/>
        <v>6.2499999999999995E-3</v>
      </c>
    </row>
    <row r="6" spans="1:10" x14ac:dyDescent="0.35">
      <c r="A6" s="2">
        <v>4</v>
      </c>
      <c r="B6" s="6">
        <v>44501</v>
      </c>
      <c r="C6" s="9">
        <f t="shared" si="6"/>
        <v>3573242.7802832029</v>
      </c>
      <c r="D6" s="9">
        <v>29001</v>
      </c>
      <c r="E6" s="9">
        <f t="shared" si="7"/>
        <v>6668.2326232299856</v>
      </c>
      <c r="F6" s="9">
        <f t="shared" si="8"/>
        <v>22332.767376770014</v>
      </c>
      <c r="G6" s="3">
        <v>0</v>
      </c>
      <c r="H6" s="3">
        <f t="shared" si="5"/>
        <v>3566574.5476599727</v>
      </c>
      <c r="I6" s="8">
        <v>7.4999999999999997E-2</v>
      </c>
      <c r="J6" s="10">
        <f t="shared" si="3"/>
        <v>6.2499999999999995E-3</v>
      </c>
    </row>
    <row r="7" spans="1:10" x14ac:dyDescent="0.35">
      <c r="A7" s="2">
        <v>5</v>
      </c>
      <c r="B7" s="6">
        <v>44531</v>
      </c>
      <c r="C7" s="9">
        <f t="shared" si="6"/>
        <v>3566574.5476599727</v>
      </c>
      <c r="D7" s="9">
        <v>29001</v>
      </c>
      <c r="E7" s="9">
        <f t="shared" si="7"/>
        <v>6709.9090771251722</v>
      </c>
      <c r="F7" s="9">
        <f t="shared" si="8"/>
        <v>22291.090922874828</v>
      </c>
      <c r="G7" s="2">
        <v>0</v>
      </c>
      <c r="H7" s="3">
        <f t="shared" si="5"/>
        <v>3559864.6385828475</v>
      </c>
      <c r="I7" s="8">
        <v>7.4999999999999997E-2</v>
      </c>
      <c r="J7" s="10">
        <f t="shared" si="3"/>
        <v>6.2499999999999995E-3</v>
      </c>
    </row>
    <row r="8" spans="1:10" x14ac:dyDescent="0.35">
      <c r="A8" s="2">
        <v>6</v>
      </c>
      <c r="B8" s="6">
        <v>44562</v>
      </c>
      <c r="C8" s="9">
        <f t="shared" si="6"/>
        <v>3559864.6385828475</v>
      </c>
      <c r="D8" s="9">
        <v>29001</v>
      </c>
      <c r="E8" s="9">
        <f t="shared" si="7"/>
        <v>6751.8460088572065</v>
      </c>
      <c r="F8" s="9">
        <f t="shared" si="8"/>
        <v>22249.153991142794</v>
      </c>
      <c r="G8" s="3">
        <v>0</v>
      </c>
      <c r="H8" s="3">
        <f t="shared" si="5"/>
        <v>3553112.7925739903</v>
      </c>
      <c r="I8" s="8">
        <v>7.4999999999999997E-2</v>
      </c>
      <c r="J8" s="10">
        <f t="shared" si="3"/>
        <v>6.2499999999999995E-3</v>
      </c>
    </row>
    <row r="9" spans="1:10" x14ac:dyDescent="0.35">
      <c r="A9" s="2">
        <v>7</v>
      </c>
      <c r="B9" s="6">
        <v>44593</v>
      </c>
      <c r="C9" s="9">
        <f t="shared" si="6"/>
        <v>3553112.7925739903</v>
      </c>
      <c r="D9" s="9">
        <v>29001</v>
      </c>
      <c r="E9" s="9">
        <f t="shared" si="7"/>
        <v>6794.0450464125643</v>
      </c>
      <c r="F9" s="9">
        <f t="shared" si="8"/>
        <v>22206.954953587436</v>
      </c>
      <c r="G9" s="2">
        <v>0</v>
      </c>
      <c r="H9" s="3">
        <f t="shared" si="5"/>
        <v>3546318.7475275779</v>
      </c>
      <c r="I9" s="8">
        <v>7.4999999999999997E-2</v>
      </c>
      <c r="J9" s="10">
        <f t="shared" si="3"/>
        <v>6.2499999999999995E-3</v>
      </c>
    </row>
    <row r="10" spans="1:10" x14ac:dyDescent="0.35">
      <c r="A10" s="2">
        <v>8</v>
      </c>
      <c r="B10" s="6">
        <v>44621</v>
      </c>
      <c r="C10" s="9">
        <f t="shared" si="6"/>
        <v>3546318.7475275779</v>
      </c>
      <c r="D10" s="9">
        <v>29001</v>
      </c>
      <c r="E10" s="9">
        <f t="shared" si="7"/>
        <v>6836.5078279526388</v>
      </c>
      <c r="F10" s="9">
        <f t="shared" si="8"/>
        <v>22164.492172047361</v>
      </c>
      <c r="G10" s="3">
        <v>0</v>
      </c>
      <c r="H10" s="3">
        <f t="shared" si="5"/>
        <v>3539482.2396996254</v>
      </c>
      <c r="I10" s="8">
        <v>7.4999999999999997E-2</v>
      </c>
      <c r="J10" s="10">
        <f t="shared" si="3"/>
        <v>6.2499999999999995E-3</v>
      </c>
    </row>
    <row r="11" spans="1:10" x14ac:dyDescent="0.35">
      <c r="A11" s="2">
        <v>9</v>
      </c>
      <c r="B11" s="6">
        <v>44652</v>
      </c>
      <c r="C11" s="9">
        <f t="shared" si="6"/>
        <v>3539482.2396996254</v>
      </c>
      <c r="D11" s="9">
        <v>29001</v>
      </c>
      <c r="E11" s="9">
        <f t="shared" si="7"/>
        <v>6879.2360018773434</v>
      </c>
      <c r="F11" s="9">
        <f t="shared" si="8"/>
        <v>22121.763998122657</v>
      </c>
      <c r="G11" s="2">
        <v>0</v>
      </c>
      <c r="H11" s="3">
        <f t="shared" si="5"/>
        <v>3532603.0036977483</v>
      </c>
      <c r="I11" s="8">
        <v>7.4999999999999997E-2</v>
      </c>
      <c r="J11" s="10">
        <f t="shared" si="3"/>
        <v>6.2499999999999995E-3</v>
      </c>
    </row>
    <row r="12" spans="1:10" x14ac:dyDescent="0.35">
      <c r="A12" s="2">
        <v>10</v>
      </c>
      <c r="B12" s="6">
        <v>44682</v>
      </c>
      <c r="C12" s="9">
        <f t="shared" si="6"/>
        <v>3532603.0036977483</v>
      </c>
      <c r="D12" s="9">
        <v>29001</v>
      </c>
      <c r="E12" s="9">
        <f t="shared" si="7"/>
        <v>6922.2312268890746</v>
      </c>
      <c r="F12" s="9">
        <f t="shared" si="8"/>
        <v>22078.768773110925</v>
      </c>
      <c r="G12" s="3">
        <v>0</v>
      </c>
      <c r="H12" s="3">
        <f t="shared" si="5"/>
        <v>3525680.7724708593</v>
      </c>
      <c r="I12" s="8">
        <v>7.4999999999999997E-2</v>
      </c>
      <c r="J12" s="10">
        <f t="shared" si="3"/>
        <v>6.2499999999999995E-3</v>
      </c>
    </row>
    <row r="13" spans="1:10" x14ac:dyDescent="0.35">
      <c r="A13" s="2">
        <v>11</v>
      </c>
      <c r="B13" s="6">
        <v>44713</v>
      </c>
      <c r="C13" s="9">
        <f t="shared" si="6"/>
        <v>3525680.7724708593</v>
      </c>
      <c r="D13" s="9">
        <v>29001</v>
      </c>
      <c r="E13" s="9">
        <f t="shared" si="7"/>
        <v>6965.4951720571298</v>
      </c>
      <c r="F13" s="9">
        <f t="shared" si="8"/>
        <v>22035.50482794287</v>
      </c>
      <c r="G13" s="2">
        <v>0</v>
      </c>
      <c r="H13" s="3">
        <f t="shared" si="5"/>
        <v>3518715.277298802</v>
      </c>
      <c r="I13" s="8">
        <v>7.4999999999999997E-2</v>
      </c>
      <c r="J13" s="10">
        <f t="shared" si="3"/>
        <v>6.2499999999999995E-3</v>
      </c>
    </row>
    <row r="14" spans="1:10" x14ac:dyDescent="0.35">
      <c r="A14" s="2">
        <v>12</v>
      </c>
      <c r="B14" s="6">
        <v>44743</v>
      </c>
      <c r="C14" s="9">
        <f t="shared" si="6"/>
        <v>3518715.277298802</v>
      </c>
      <c r="D14" s="9">
        <v>29001</v>
      </c>
      <c r="E14" s="9">
        <f t="shared" si="7"/>
        <v>7009.0295168824887</v>
      </c>
      <c r="F14" s="9">
        <f t="shared" si="8"/>
        <v>21991.970483117511</v>
      </c>
      <c r="G14" s="3">
        <v>0</v>
      </c>
      <c r="H14" s="3">
        <f t="shared" si="5"/>
        <v>3511706.2477819198</v>
      </c>
      <c r="I14" s="8">
        <v>7.4999999999999997E-2</v>
      </c>
      <c r="J14" s="10">
        <f t="shared" si="3"/>
        <v>6.2499999999999995E-3</v>
      </c>
    </row>
    <row r="15" spans="1:10" x14ac:dyDescent="0.35">
      <c r="A15" s="2">
        <v>13</v>
      </c>
      <c r="B15" s="6">
        <v>44774</v>
      </c>
      <c r="C15" s="9">
        <f t="shared" si="6"/>
        <v>3511706.2477819198</v>
      </c>
      <c r="D15" s="9">
        <v>29095</v>
      </c>
      <c r="E15" s="9">
        <f t="shared" si="7"/>
        <v>2025.5976733477</v>
      </c>
      <c r="F15" s="9">
        <f t="shared" si="8"/>
        <v>27069.4023266523</v>
      </c>
      <c r="G15" s="2">
        <v>0</v>
      </c>
      <c r="H15" s="3">
        <f t="shared" si="5"/>
        <v>3509680.6501085721</v>
      </c>
      <c r="I15" s="8">
        <v>9.2499999999999999E-2</v>
      </c>
      <c r="J15" s="10">
        <f t="shared" si="3"/>
        <v>7.7083333333333335E-3</v>
      </c>
    </row>
    <row r="16" spans="1:10" x14ac:dyDescent="0.35">
      <c r="A16" s="2">
        <v>14</v>
      </c>
      <c r="B16" s="6">
        <v>44805</v>
      </c>
      <c r="C16" s="9">
        <f t="shared" si="6"/>
        <v>3509680.6501085721</v>
      </c>
      <c r="D16" s="9">
        <v>29095</v>
      </c>
      <c r="E16" s="9">
        <f t="shared" si="7"/>
        <v>2041.211655413088</v>
      </c>
      <c r="F16" s="9">
        <f t="shared" si="8"/>
        <v>27053.788344586912</v>
      </c>
      <c r="G16" s="2">
        <v>0</v>
      </c>
      <c r="H16" s="3">
        <f t="shared" si="5"/>
        <v>3507639.4384531588</v>
      </c>
      <c r="I16" s="8">
        <v>9.2499999999999999E-2</v>
      </c>
      <c r="J16" s="10">
        <f t="shared" si="3"/>
        <v>7.7083333333333335E-3</v>
      </c>
    </row>
    <row r="17" spans="1:10" x14ac:dyDescent="0.35">
      <c r="A17" s="2">
        <v>15</v>
      </c>
      <c r="B17" s="6">
        <v>44835</v>
      </c>
      <c r="C17" s="9">
        <f t="shared" si="6"/>
        <v>3507639.4384531588</v>
      </c>
      <c r="D17" s="9">
        <v>60000</v>
      </c>
      <c r="E17" s="9">
        <f t="shared" si="7"/>
        <v>32961.945995256901</v>
      </c>
      <c r="F17" s="9">
        <f t="shared" si="8"/>
        <v>27038.054004743099</v>
      </c>
      <c r="G17" s="3">
        <v>0</v>
      </c>
      <c r="H17" s="3">
        <f t="shared" si="5"/>
        <v>3474677.4924579021</v>
      </c>
      <c r="I17" s="8">
        <v>9.2499999999999999E-2</v>
      </c>
      <c r="J17" s="10">
        <f t="shared" si="3"/>
        <v>7.7083333333333335E-3</v>
      </c>
    </row>
    <row r="18" spans="1:10" x14ac:dyDescent="0.35">
      <c r="A18" s="2">
        <v>16</v>
      </c>
      <c r="B18" s="6">
        <v>44866</v>
      </c>
      <c r="C18" s="9">
        <f t="shared" si="6"/>
        <v>3474677.4924579021</v>
      </c>
      <c r="D18" s="9">
        <v>60000</v>
      </c>
      <c r="E18" s="9">
        <f t="shared" si="7"/>
        <v>33216.02766230367</v>
      </c>
      <c r="F18" s="9">
        <f t="shared" si="8"/>
        <v>26783.97233769633</v>
      </c>
      <c r="G18" s="3">
        <v>0</v>
      </c>
      <c r="H18" s="3">
        <f t="shared" si="5"/>
        <v>3441461.4647955983</v>
      </c>
      <c r="I18" s="8">
        <v>9.2499999999999999E-2</v>
      </c>
      <c r="J18" s="10">
        <f t="shared" si="3"/>
        <v>7.7083333333333335E-3</v>
      </c>
    </row>
    <row r="19" spans="1:10" x14ac:dyDescent="0.35">
      <c r="A19" s="2">
        <v>17</v>
      </c>
      <c r="B19" s="6">
        <v>44896</v>
      </c>
      <c r="C19" s="9">
        <f t="shared" si="6"/>
        <v>3441461.4647955983</v>
      </c>
      <c r="D19" s="9">
        <v>60000</v>
      </c>
      <c r="E19" s="9">
        <f t="shared" si="7"/>
        <v>33472.067875533932</v>
      </c>
      <c r="F19" s="9">
        <f t="shared" si="8"/>
        <v>26527.932124466071</v>
      </c>
      <c r="G19" s="2">
        <v>0</v>
      </c>
      <c r="H19" s="3">
        <f t="shared" si="5"/>
        <v>3407989.3969200645</v>
      </c>
      <c r="I19" s="8">
        <v>9.2499999999999999E-2</v>
      </c>
      <c r="J19" s="10">
        <f t="shared" si="3"/>
        <v>7.7083333333333335E-3</v>
      </c>
    </row>
    <row r="20" spans="1:10" x14ac:dyDescent="0.35">
      <c r="A20" s="2">
        <v>18</v>
      </c>
      <c r="B20" s="6">
        <v>44927</v>
      </c>
      <c r="C20" s="9">
        <f t="shared" si="6"/>
        <v>3407989.3969200645</v>
      </c>
      <c r="D20" s="9">
        <v>60000</v>
      </c>
      <c r="E20" s="9">
        <f t="shared" si="7"/>
        <v>33730.081732074497</v>
      </c>
      <c r="F20" s="9">
        <f t="shared" si="8"/>
        <v>26269.918267925499</v>
      </c>
      <c r="G20" s="3">
        <v>0</v>
      </c>
      <c r="H20" s="3">
        <f t="shared" si="5"/>
        <v>3374259.3151879897</v>
      </c>
      <c r="I20" s="8">
        <v>9.2499999999999999E-2</v>
      </c>
      <c r="J20" s="10">
        <f t="shared" si="3"/>
        <v>7.7083333333333335E-3</v>
      </c>
    </row>
    <row r="21" spans="1:10" x14ac:dyDescent="0.35">
      <c r="A21" s="2">
        <v>19</v>
      </c>
      <c r="B21" s="6">
        <v>44958</v>
      </c>
      <c r="C21" s="9">
        <f t="shared" si="6"/>
        <v>3374259.3151879897</v>
      </c>
      <c r="D21" s="9">
        <v>60000</v>
      </c>
      <c r="E21" s="9">
        <f t="shared" si="7"/>
        <v>33990.084445425913</v>
      </c>
      <c r="F21" s="9">
        <f t="shared" si="8"/>
        <v>26009.915554574087</v>
      </c>
      <c r="G21" s="3">
        <v>0</v>
      </c>
      <c r="H21" s="3">
        <f t="shared" si="5"/>
        <v>3340269.230742564</v>
      </c>
      <c r="I21" s="8">
        <v>9.2499999999999999E-2</v>
      </c>
      <c r="J21" s="10">
        <f t="shared" si="3"/>
        <v>7.7083333333333335E-3</v>
      </c>
    </row>
    <row r="22" spans="1:10" x14ac:dyDescent="0.35">
      <c r="A22" s="2">
        <v>20</v>
      </c>
      <c r="B22" s="6">
        <v>44986</v>
      </c>
      <c r="C22" s="9">
        <f t="shared" si="6"/>
        <v>3340269.230742564</v>
      </c>
      <c r="D22" s="9">
        <v>60000</v>
      </c>
      <c r="E22" s="9">
        <f t="shared" si="7"/>
        <v>34252.091346359404</v>
      </c>
      <c r="F22" s="9">
        <f t="shared" si="8"/>
        <v>25747.908653640599</v>
      </c>
      <c r="G22" s="2">
        <v>0</v>
      </c>
      <c r="H22" s="3">
        <f t="shared" si="5"/>
        <v>3306017.1393962046</v>
      </c>
      <c r="I22" s="8">
        <v>9.2499999999999999E-2</v>
      </c>
      <c r="J22" s="10">
        <f t="shared" si="3"/>
        <v>7.7083333333333335E-3</v>
      </c>
    </row>
    <row r="23" spans="1:10" x14ac:dyDescent="0.35">
      <c r="A23" s="2">
        <v>21</v>
      </c>
      <c r="B23" s="6">
        <v>45017</v>
      </c>
      <c r="C23" s="9">
        <f t="shared" si="6"/>
        <v>3306017.1393962046</v>
      </c>
      <c r="D23" s="9">
        <v>60000</v>
      </c>
      <c r="E23" s="9">
        <f t="shared" si="7"/>
        <v>34516.117883820923</v>
      </c>
      <c r="F23" s="9">
        <f t="shared" si="8"/>
        <v>25483.882116179077</v>
      </c>
      <c r="G23" s="3">
        <v>0</v>
      </c>
      <c r="H23" s="3">
        <f t="shared" si="5"/>
        <v>3271501.0215123836</v>
      </c>
      <c r="I23" s="8">
        <v>9.2499999999999999E-2</v>
      </c>
      <c r="J23" s="10">
        <f t="shared" si="3"/>
        <v>7.7083333333333335E-3</v>
      </c>
    </row>
    <row r="24" spans="1:10" x14ac:dyDescent="0.35">
      <c r="A24" s="2">
        <v>22</v>
      </c>
      <c r="B24" s="6">
        <v>45047</v>
      </c>
      <c r="C24" s="9">
        <f t="shared" si="6"/>
        <v>3271501.0215123836</v>
      </c>
      <c r="D24" s="9">
        <v>60000</v>
      </c>
      <c r="E24" s="9">
        <f t="shared" si="7"/>
        <v>34782.179625842044</v>
      </c>
      <c r="F24" s="9">
        <f t="shared" si="8"/>
        <v>25217.820374157956</v>
      </c>
      <c r="G24" s="3">
        <v>0</v>
      </c>
      <c r="H24" s="3">
        <f t="shared" si="5"/>
        <v>3236718.8418865413</v>
      </c>
      <c r="I24" s="8">
        <v>9.2499999999999999E-2</v>
      </c>
      <c r="J24" s="10">
        <f t="shared" si="3"/>
        <v>7.7083333333333335E-3</v>
      </c>
    </row>
    <row r="25" spans="1:10" x14ac:dyDescent="0.35">
      <c r="A25" s="2">
        <v>23</v>
      </c>
      <c r="B25" s="6">
        <v>45078</v>
      </c>
      <c r="C25" s="9">
        <f t="shared" si="6"/>
        <v>3236718.8418865413</v>
      </c>
      <c r="D25" s="9">
        <v>60000</v>
      </c>
      <c r="E25" s="9">
        <f t="shared" si="7"/>
        <v>35050.292260457907</v>
      </c>
      <c r="F25" s="9">
        <f t="shared" si="8"/>
        <v>24949.707739542089</v>
      </c>
      <c r="G25" s="2">
        <v>0</v>
      </c>
      <c r="H25" s="3">
        <f t="shared" si="5"/>
        <v>3201668.5496260836</v>
      </c>
      <c r="I25" s="8">
        <v>9.2499999999999999E-2</v>
      </c>
      <c r="J25" s="10">
        <f t="shared" si="3"/>
        <v>7.7083333333333335E-3</v>
      </c>
    </row>
    <row r="26" spans="1:10" x14ac:dyDescent="0.35">
      <c r="A26" s="2">
        <v>24</v>
      </c>
      <c r="B26" s="6">
        <v>45108</v>
      </c>
      <c r="C26" s="9">
        <f t="shared" si="6"/>
        <v>3201668.5496260836</v>
      </c>
      <c r="D26" s="9">
        <v>60000</v>
      </c>
      <c r="E26" s="9">
        <f t="shared" si="7"/>
        <v>35320.471596632269</v>
      </c>
      <c r="F26" s="9">
        <f t="shared" si="8"/>
        <v>24679.528403367727</v>
      </c>
      <c r="G26" s="3">
        <v>0</v>
      </c>
      <c r="H26" s="3">
        <f t="shared" si="5"/>
        <v>3166348.0780294514</v>
      </c>
      <c r="I26" s="8">
        <v>9.2499999999999999E-2</v>
      </c>
      <c r="J26" s="10">
        <f t="shared" si="3"/>
        <v>7.7083333333333335E-3</v>
      </c>
    </row>
    <row r="27" spans="1:10" x14ac:dyDescent="0.35">
      <c r="A27" s="2">
        <v>25</v>
      </c>
      <c r="B27" s="6">
        <v>45139</v>
      </c>
      <c r="C27" s="9">
        <f t="shared" si="6"/>
        <v>3166348.0780294514</v>
      </c>
      <c r="D27" s="9">
        <v>60000</v>
      </c>
      <c r="E27" s="9">
        <f t="shared" si="7"/>
        <v>33349.903676585447</v>
      </c>
      <c r="F27" s="9">
        <f t="shared" si="8"/>
        <v>26650.096323414553</v>
      </c>
      <c r="G27" s="3">
        <v>0</v>
      </c>
      <c r="H27" s="3">
        <f t="shared" si="5"/>
        <v>3132998.1743528661</v>
      </c>
      <c r="I27" s="8">
        <v>0.10100000000000001</v>
      </c>
      <c r="J27" s="10">
        <f t="shared" si="3"/>
        <v>8.4166666666666678E-3</v>
      </c>
    </row>
    <row r="28" spans="1:10" x14ac:dyDescent="0.35">
      <c r="A28" s="2">
        <v>26</v>
      </c>
      <c r="B28" s="6">
        <v>45170</v>
      </c>
      <c r="C28" s="9">
        <f t="shared" si="6"/>
        <v>3132998.1743528661</v>
      </c>
      <c r="D28" s="9">
        <v>60000</v>
      </c>
      <c r="E28" s="9">
        <f t="shared" si="7"/>
        <v>33630.598699196707</v>
      </c>
      <c r="F28" s="9">
        <f t="shared" si="8"/>
        <v>26369.401300803293</v>
      </c>
      <c r="G28" s="2">
        <v>0</v>
      </c>
      <c r="H28" s="3">
        <f t="shared" si="5"/>
        <v>3099367.5756536694</v>
      </c>
      <c r="I28" s="8">
        <v>0.10100000000000001</v>
      </c>
      <c r="J28" s="10">
        <f t="shared" si="3"/>
        <v>8.4166666666666678E-3</v>
      </c>
    </row>
    <row r="29" spans="1:10" x14ac:dyDescent="0.35">
      <c r="A29" s="2">
        <v>27</v>
      </c>
      <c r="B29" s="6">
        <v>45200</v>
      </c>
      <c r="C29" s="9">
        <f t="shared" si="6"/>
        <v>3099367.5756536694</v>
      </c>
      <c r="D29" s="9">
        <v>60000</v>
      </c>
      <c r="E29" s="9">
        <f t="shared" si="7"/>
        <v>33913.656238248281</v>
      </c>
      <c r="F29" s="9">
        <f t="shared" si="8"/>
        <v>26086.343761751723</v>
      </c>
      <c r="G29" s="3">
        <v>0</v>
      </c>
      <c r="H29" s="3">
        <f t="shared" si="5"/>
        <v>3065453.9194154213</v>
      </c>
      <c r="I29" s="8">
        <v>0.10100000000000001</v>
      </c>
      <c r="J29" s="10">
        <f t="shared" si="3"/>
        <v>8.4166666666666678E-3</v>
      </c>
    </row>
    <row r="30" spans="1:10" x14ac:dyDescent="0.35">
      <c r="A30" s="2">
        <v>28</v>
      </c>
      <c r="B30" s="6">
        <v>45231</v>
      </c>
      <c r="C30" s="9">
        <f t="shared" si="6"/>
        <v>3065453.9194154213</v>
      </c>
      <c r="D30" s="9">
        <v>60000</v>
      </c>
      <c r="E30" s="9">
        <f t="shared" si="7"/>
        <v>34199.096178253531</v>
      </c>
      <c r="F30" s="9">
        <f t="shared" si="8"/>
        <v>25800.903821746466</v>
      </c>
      <c r="G30" s="3">
        <v>0</v>
      </c>
      <c r="H30" s="3">
        <f t="shared" si="5"/>
        <v>3031254.8232371677</v>
      </c>
      <c r="I30" s="8">
        <v>0.10100000000000001</v>
      </c>
      <c r="J30" s="10">
        <f t="shared" si="3"/>
        <v>8.4166666666666678E-3</v>
      </c>
    </row>
    <row r="31" spans="1:10" x14ac:dyDescent="0.35">
      <c r="A31" s="2">
        <v>29</v>
      </c>
      <c r="B31" s="6">
        <v>45261</v>
      </c>
      <c r="C31" s="9">
        <f t="shared" si="6"/>
        <v>3031254.8232371677</v>
      </c>
      <c r="D31" s="9">
        <v>60000</v>
      </c>
      <c r="E31" s="9">
        <f t="shared" si="7"/>
        <v>34486.938571087172</v>
      </c>
      <c r="F31" s="9">
        <f t="shared" si="8"/>
        <v>25513.061428912832</v>
      </c>
      <c r="G31" s="2">
        <v>0</v>
      </c>
      <c r="H31" s="3">
        <f t="shared" si="5"/>
        <v>2996767.8846660806</v>
      </c>
      <c r="I31" s="8">
        <v>0.10100000000000001</v>
      </c>
      <c r="J31" s="10">
        <f t="shared" si="3"/>
        <v>8.4166666666666678E-3</v>
      </c>
    </row>
    <row r="32" spans="1:10" x14ac:dyDescent="0.35">
      <c r="A32" s="2">
        <v>30</v>
      </c>
      <c r="B32" s="6">
        <v>45292</v>
      </c>
      <c r="C32" s="9">
        <f t="shared" si="6"/>
        <v>2996767.8846660806</v>
      </c>
      <c r="D32" s="9">
        <v>60000</v>
      </c>
      <c r="E32" s="9">
        <f t="shared" si="7"/>
        <v>34777.203637393817</v>
      </c>
      <c r="F32" s="9">
        <f t="shared" si="8"/>
        <v>25222.796362606183</v>
      </c>
      <c r="G32" s="3">
        <v>0</v>
      </c>
      <c r="H32" s="3">
        <f t="shared" si="5"/>
        <v>2961990.6810286869</v>
      </c>
      <c r="I32" s="8">
        <v>0.10100000000000001</v>
      </c>
      <c r="J32" s="10">
        <f t="shared" si="3"/>
        <v>8.4166666666666678E-3</v>
      </c>
    </row>
    <row r="33" spans="1:10" x14ac:dyDescent="0.35">
      <c r="A33" s="2">
        <v>31</v>
      </c>
      <c r="B33" s="6">
        <v>45323</v>
      </c>
      <c r="C33" s="9">
        <f t="shared" si="6"/>
        <v>2961990.6810286869</v>
      </c>
      <c r="D33" s="9">
        <v>60000</v>
      </c>
      <c r="E33" s="9">
        <f t="shared" si="7"/>
        <v>35069.911768008547</v>
      </c>
      <c r="F33" s="9">
        <f t="shared" si="8"/>
        <v>24930.088231991453</v>
      </c>
      <c r="G33" s="3">
        <v>0</v>
      </c>
      <c r="H33" s="3">
        <f t="shared" si="5"/>
        <v>2926920.7692606784</v>
      </c>
      <c r="I33" s="8">
        <v>0.10100000000000001</v>
      </c>
      <c r="J33" s="10">
        <f t="shared" si="3"/>
        <v>8.4166666666666678E-3</v>
      </c>
    </row>
    <row r="34" spans="1:10" x14ac:dyDescent="0.35">
      <c r="A34" s="2">
        <v>32</v>
      </c>
      <c r="B34" s="6">
        <v>45352</v>
      </c>
      <c r="C34" s="9">
        <f t="shared" si="6"/>
        <v>2926920.7692606784</v>
      </c>
      <c r="D34" s="9">
        <v>60000</v>
      </c>
      <c r="E34" s="9">
        <f t="shared" si="7"/>
        <v>35365.083525389287</v>
      </c>
      <c r="F34" s="9">
        <f t="shared" si="8"/>
        <v>24634.916474610713</v>
      </c>
      <c r="G34" s="2">
        <v>0</v>
      </c>
      <c r="H34" s="3">
        <f t="shared" si="5"/>
        <v>2891555.685735289</v>
      </c>
      <c r="I34" s="8">
        <v>0.10100000000000001</v>
      </c>
      <c r="J34" s="10">
        <f t="shared" si="3"/>
        <v>8.4166666666666678E-3</v>
      </c>
    </row>
    <row r="35" spans="1:10" x14ac:dyDescent="0.35">
      <c r="A35" s="2">
        <v>33</v>
      </c>
      <c r="B35" s="6">
        <v>45383</v>
      </c>
      <c r="C35" s="9">
        <f t="shared" si="6"/>
        <v>2891555.685735289</v>
      </c>
      <c r="D35" s="9">
        <v>60000</v>
      </c>
      <c r="E35" s="9">
        <f t="shared" si="7"/>
        <v>35662.739645061316</v>
      </c>
      <c r="F35" s="9">
        <f t="shared" si="8"/>
        <v>24337.260354938684</v>
      </c>
      <c r="G35" s="3">
        <v>0</v>
      </c>
      <c r="H35" s="3">
        <f t="shared" si="5"/>
        <v>2855892.9460902279</v>
      </c>
      <c r="I35" s="8">
        <v>0.10100000000000001</v>
      </c>
      <c r="J35" s="10">
        <f t="shared" si="3"/>
        <v>8.4166666666666678E-3</v>
      </c>
    </row>
    <row r="36" spans="1:10" x14ac:dyDescent="0.35">
      <c r="A36" s="2">
        <v>34</v>
      </c>
      <c r="B36" s="6">
        <v>45413</v>
      </c>
      <c r="C36" s="9">
        <f t="shared" si="6"/>
        <v>2855892.9460902279</v>
      </c>
      <c r="D36" s="9">
        <v>60000</v>
      </c>
      <c r="E36" s="9">
        <f t="shared" si="7"/>
        <v>35962.901037073912</v>
      </c>
      <c r="F36" s="9">
        <f t="shared" si="8"/>
        <v>24037.098962926088</v>
      </c>
      <c r="G36" s="3">
        <v>0</v>
      </c>
      <c r="H36" s="3">
        <f t="shared" si="5"/>
        <v>2819930.0450531542</v>
      </c>
      <c r="I36" s="8">
        <v>0.10100000000000001</v>
      </c>
      <c r="J36" s="10">
        <f t="shared" si="3"/>
        <v>8.4166666666666678E-3</v>
      </c>
    </row>
    <row r="37" spans="1:10" x14ac:dyDescent="0.35">
      <c r="A37" s="2">
        <v>35</v>
      </c>
      <c r="B37" s="6">
        <v>45444</v>
      </c>
      <c r="C37" s="9">
        <f t="shared" si="6"/>
        <v>2819930.0450531542</v>
      </c>
      <c r="D37" s="9">
        <v>60000</v>
      </c>
      <c r="E37" s="9">
        <f t="shared" si="7"/>
        <v>36265.588787469285</v>
      </c>
      <c r="F37" s="9">
        <f t="shared" si="8"/>
        <v>23734.411212530718</v>
      </c>
      <c r="G37" s="2">
        <v>0</v>
      </c>
      <c r="H37" s="3">
        <f t="shared" si="5"/>
        <v>2783664.4562656851</v>
      </c>
      <c r="I37" s="8">
        <v>0.10100000000000001</v>
      </c>
      <c r="J37" s="10">
        <f t="shared" si="3"/>
        <v>8.4166666666666678E-3</v>
      </c>
    </row>
    <row r="38" spans="1:10" x14ac:dyDescent="0.35">
      <c r="A38" s="2">
        <v>36</v>
      </c>
      <c r="B38" s="6">
        <v>45474</v>
      </c>
      <c r="C38" s="9">
        <f t="shared" si="6"/>
        <v>2783664.4562656851</v>
      </c>
      <c r="D38" s="9">
        <v>60000</v>
      </c>
      <c r="E38" s="9">
        <f t="shared" si="7"/>
        <v>36570.824159763812</v>
      </c>
      <c r="F38" s="9">
        <f t="shared" si="8"/>
        <v>23429.175840236185</v>
      </c>
      <c r="G38" s="3">
        <v>0</v>
      </c>
      <c r="H38" s="3">
        <f t="shared" si="5"/>
        <v>2747093.6321059214</v>
      </c>
      <c r="I38" s="8">
        <v>0.10100000000000001</v>
      </c>
      <c r="J38" s="10">
        <f t="shared" si="3"/>
        <v>8.4166666666666678E-3</v>
      </c>
    </row>
    <row r="39" spans="1:10" x14ac:dyDescent="0.35">
      <c r="A39" s="2">
        <v>37</v>
      </c>
      <c r="B39" s="6">
        <v>45505</v>
      </c>
      <c r="C39" s="9">
        <f t="shared" si="6"/>
        <v>2747093.6321059214</v>
      </c>
      <c r="D39" s="9">
        <v>60000</v>
      </c>
      <c r="E39" s="9">
        <f t="shared" si="7"/>
        <v>36878.62859644182</v>
      </c>
      <c r="F39" s="9">
        <f t="shared" si="8"/>
        <v>23121.371403558176</v>
      </c>
      <c r="G39" s="3">
        <v>0</v>
      </c>
      <c r="H39" s="3">
        <f t="shared" si="5"/>
        <v>2710215.0035094796</v>
      </c>
      <c r="I39" s="8">
        <v>0.10100000000000001</v>
      </c>
      <c r="J39" s="10">
        <f t="shared" si="3"/>
        <v>8.4166666666666678E-3</v>
      </c>
    </row>
    <row r="40" spans="1:10" x14ac:dyDescent="0.35">
      <c r="A40" s="2">
        <v>38</v>
      </c>
      <c r="B40" s="6">
        <v>45536</v>
      </c>
      <c r="C40" s="9">
        <f t="shared" si="6"/>
        <v>2710215.0035094796</v>
      </c>
      <c r="D40" s="9">
        <v>70000</v>
      </c>
      <c r="E40" s="9">
        <f t="shared" si="7"/>
        <v>47189.023720461875</v>
      </c>
      <c r="F40" s="9">
        <f t="shared" si="8"/>
        <v>22810.976279538121</v>
      </c>
      <c r="G40" s="2">
        <v>0</v>
      </c>
      <c r="H40" s="3">
        <f t="shared" si="5"/>
        <v>2663025.9797890177</v>
      </c>
      <c r="I40" s="8">
        <v>0.10100000000000001</v>
      </c>
      <c r="J40" s="10">
        <f t="shared" si="3"/>
        <v>8.4166666666666678E-3</v>
      </c>
    </row>
    <row r="41" spans="1:10" x14ac:dyDescent="0.35">
      <c r="A41" s="2">
        <v>39</v>
      </c>
      <c r="B41" s="6">
        <v>45566</v>
      </c>
      <c r="C41" s="9">
        <f t="shared" si="6"/>
        <v>2663025.9797890177</v>
      </c>
      <c r="D41" s="9">
        <v>70000</v>
      </c>
      <c r="E41" s="9">
        <f t="shared" si="7"/>
        <v>47586.198003442434</v>
      </c>
      <c r="F41" s="9">
        <f t="shared" si="8"/>
        <v>22413.80199655757</v>
      </c>
      <c r="G41" s="3">
        <v>0</v>
      </c>
      <c r="H41" s="3">
        <f t="shared" si="5"/>
        <v>2615439.7817855752</v>
      </c>
      <c r="I41" s="8">
        <v>0.10100000000000001</v>
      </c>
      <c r="J41" s="10">
        <f t="shared" si="3"/>
        <v>8.4166666666666678E-3</v>
      </c>
    </row>
    <row r="42" spans="1:10" x14ac:dyDescent="0.35">
      <c r="A42" s="2">
        <v>40</v>
      </c>
      <c r="B42" s="6">
        <v>45597</v>
      </c>
      <c r="C42" s="9">
        <f t="shared" si="6"/>
        <v>2615439.7817855752</v>
      </c>
      <c r="D42" s="9">
        <v>70000</v>
      </c>
      <c r="E42" s="9">
        <f t="shared" si="7"/>
        <v>47986.715169971401</v>
      </c>
      <c r="F42" s="9">
        <f t="shared" si="8"/>
        <v>22013.284830028595</v>
      </c>
      <c r="G42" s="3">
        <v>0</v>
      </c>
      <c r="H42" s="3">
        <f t="shared" si="5"/>
        <v>2567453.0666156039</v>
      </c>
      <c r="I42" s="8">
        <v>0.10100000000000001</v>
      </c>
      <c r="J42" s="10">
        <f t="shared" si="3"/>
        <v>8.4166666666666678E-3</v>
      </c>
    </row>
    <row r="43" spans="1:10" x14ac:dyDescent="0.35">
      <c r="A43" s="2">
        <v>41</v>
      </c>
      <c r="B43" s="6">
        <v>45627</v>
      </c>
      <c r="C43" s="9">
        <f t="shared" si="6"/>
        <v>2567453.0666156039</v>
      </c>
      <c r="D43" s="9">
        <v>70000</v>
      </c>
      <c r="E43" s="9">
        <f t="shared" si="7"/>
        <v>48390.603355985331</v>
      </c>
      <c r="F43" s="9">
        <f t="shared" si="8"/>
        <v>21609.396644014669</v>
      </c>
      <c r="G43" s="2">
        <v>0</v>
      </c>
      <c r="H43" s="3">
        <f t="shared" si="5"/>
        <v>2519062.4632596187</v>
      </c>
      <c r="I43" s="8">
        <v>0.10100000000000001</v>
      </c>
      <c r="J43" s="10">
        <f t="shared" si="3"/>
        <v>8.4166666666666678E-3</v>
      </c>
    </row>
    <row r="44" spans="1:10" x14ac:dyDescent="0.35">
      <c r="A44" s="2">
        <v>42</v>
      </c>
      <c r="B44" s="6">
        <v>45658</v>
      </c>
      <c r="C44" s="9">
        <f t="shared" si="6"/>
        <v>2519062.4632596187</v>
      </c>
      <c r="D44" s="9">
        <v>70000</v>
      </c>
      <c r="E44" s="9">
        <f t="shared" si="7"/>
        <v>48797.890934231538</v>
      </c>
      <c r="F44" s="9">
        <f t="shared" si="8"/>
        <v>21202.109065768462</v>
      </c>
      <c r="G44" s="3">
        <v>0</v>
      </c>
      <c r="H44" s="3">
        <f t="shared" si="5"/>
        <v>2470264.572325387</v>
      </c>
      <c r="I44" s="8">
        <v>0.10100000000000001</v>
      </c>
      <c r="J44" s="10">
        <f t="shared" si="3"/>
        <v>8.4166666666666678E-3</v>
      </c>
    </row>
    <row r="45" spans="1:10" x14ac:dyDescent="0.35">
      <c r="A45" s="2">
        <v>43</v>
      </c>
      <c r="B45" s="6">
        <v>45689</v>
      </c>
      <c r="C45" s="9">
        <f t="shared" si="6"/>
        <v>2470264.572325387</v>
      </c>
      <c r="D45" s="9">
        <v>70000</v>
      </c>
      <c r="E45" s="9">
        <f t="shared" si="7"/>
        <v>49208.606516261323</v>
      </c>
      <c r="F45" s="9">
        <f t="shared" si="8"/>
        <v>20791.393483738677</v>
      </c>
      <c r="G45" s="3">
        <v>0</v>
      </c>
      <c r="H45" s="3">
        <f t="shared" si="5"/>
        <v>2421055.9658091259</v>
      </c>
      <c r="I45" s="8">
        <v>0.10100000000000001</v>
      </c>
      <c r="J45" s="10">
        <f t="shared" si="3"/>
        <v>8.4166666666666678E-3</v>
      </c>
    </row>
    <row r="46" spans="1:10" x14ac:dyDescent="0.35">
      <c r="A46" s="2">
        <v>44</v>
      </c>
      <c r="B46" s="6">
        <v>45717</v>
      </c>
      <c r="C46" s="9">
        <f t="shared" si="6"/>
        <v>2421055.9658091259</v>
      </c>
      <c r="D46" s="9">
        <v>70000</v>
      </c>
      <c r="E46" s="9">
        <f t="shared" si="7"/>
        <v>49622.778954439855</v>
      </c>
      <c r="F46" s="9">
        <f t="shared" si="8"/>
        <v>20377.221045560145</v>
      </c>
      <c r="G46" s="2">
        <v>0</v>
      </c>
      <c r="H46" s="3">
        <f t="shared" si="5"/>
        <v>2371433.1868546861</v>
      </c>
      <c r="I46" s="8">
        <v>0.10100000000000001</v>
      </c>
      <c r="J46" s="10">
        <f t="shared" si="3"/>
        <v>8.4166666666666678E-3</v>
      </c>
    </row>
    <row r="47" spans="1:10" x14ac:dyDescent="0.35">
      <c r="A47" s="2">
        <v>45</v>
      </c>
      <c r="B47" s="6">
        <v>45748</v>
      </c>
      <c r="C47" s="9">
        <f t="shared" si="6"/>
        <v>2371433.1868546861</v>
      </c>
      <c r="D47" s="9">
        <v>80000</v>
      </c>
      <c r="E47" s="9">
        <f t="shared" si="7"/>
        <v>60040.437343973055</v>
      </c>
      <c r="F47" s="9">
        <f t="shared" si="8"/>
        <v>19959.562656026945</v>
      </c>
      <c r="G47" s="3">
        <v>0</v>
      </c>
      <c r="H47" s="3">
        <f t="shared" si="5"/>
        <v>2311392.7495107129</v>
      </c>
      <c r="I47" s="8">
        <v>0.10100000000000001</v>
      </c>
      <c r="J47" s="10">
        <f t="shared" si="3"/>
        <v>8.4166666666666678E-3</v>
      </c>
    </row>
    <row r="48" spans="1:10" x14ac:dyDescent="0.35">
      <c r="A48" s="2">
        <v>46</v>
      </c>
      <c r="B48" s="6">
        <v>45778</v>
      </c>
      <c r="C48" s="9">
        <f t="shared" si="6"/>
        <v>2311392.7495107129</v>
      </c>
      <c r="D48" s="9">
        <v>80000</v>
      </c>
      <c r="E48" s="9">
        <f t="shared" si="7"/>
        <v>60545.777691618161</v>
      </c>
      <c r="F48" s="9">
        <f t="shared" si="8"/>
        <v>19454.222308381835</v>
      </c>
      <c r="G48" s="3">
        <v>0</v>
      </c>
      <c r="H48" s="3">
        <f t="shared" si="5"/>
        <v>2250846.9718190948</v>
      </c>
      <c r="I48" s="8">
        <v>0.10100000000000001</v>
      </c>
      <c r="J48" s="10">
        <f t="shared" si="3"/>
        <v>8.4166666666666678E-3</v>
      </c>
    </row>
    <row r="49" spans="1:10" x14ac:dyDescent="0.35">
      <c r="A49" s="2">
        <v>47</v>
      </c>
      <c r="B49" s="6">
        <v>45809</v>
      </c>
      <c r="C49" s="9">
        <f t="shared" si="6"/>
        <v>2250846.9718190948</v>
      </c>
      <c r="D49" s="9">
        <v>80000</v>
      </c>
      <c r="E49" s="9">
        <f t="shared" si="7"/>
        <v>61055.371320522616</v>
      </c>
      <c r="F49" s="9">
        <f t="shared" si="8"/>
        <v>18944.628679477384</v>
      </c>
      <c r="G49" s="2">
        <v>0</v>
      </c>
      <c r="H49" s="3">
        <f t="shared" si="5"/>
        <v>2189791.6004985725</v>
      </c>
      <c r="I49" s="8">
        <v>0.10100000000000001</v>
      </c>
      <c r="J49" s="10">
        <f t="shared" si="3"/>
        <v>8.4166666666666678E-3</v>
      </c>
    </row>
    <row r="50" spans="1:10" x14ac:dyDescent="0.35">
      <c r="A50" s="2">
        <v>48</v>
      </c>
      <c r="B50" s="6">
        <v>45839</v>
      </c>
      <c r="C50" s="9">
        <f t="shared" si="6"/>
        <v>2189791.6004985725</v>
      </c>
      <c r="D50" s="9">
        <v>80000</v>
      </c>
      <c r="E50" s="9">
        <f t="shared" si="7"/>
        <v>61569.25402913701</v>
      </c>
      <c r="F50" s="9">
        <f t="shared" si="8"/>
        <v>18430.745970862987</v>
      </c>
      <c r="G50" s="3">
        <v>0</v>
      </c>
      <c r="H50" s="3">
        <f t="shared" si="5"/>
        <v>2128222.3464694354</v>
      </c>
      <c r="I50" s="8">
        <v>0.10100000000000001</v>
      </c>
      <c r="J50" s="10">
        <f t="shared" si="3"/>
        <v>8.4166666666666678E-3</v>
      </c>
    </row>
    <row r="51" spans="1:10" x14ac:dyDescent="0.35">
      <c r="A51" s="2">
        <v>49</v>
      </c>
      <c r="B51" s="6">
        <v>45870</v>
      </c>
      <c r="C51" s="9">
        <f t="shared" si="6"/>
        <v>2128222.3464694354</v>
      </c>
      <c r="D51" s="9">
        <v>80000</v>
      </c>
      <c r="E51" s="9">
        <f t="shared" si="7"/>
        <v>62087.46191721558</v>
      </c>
      <c r="F51" s="9">
        <f t="shared" si="8"/>
        <v>17912.538082784416</v>
      </c>
      <c r="G51" s="3">
        <v>0</v>
      </c>
      <c r="H51" s="3">
        <f t="shared" si="5"/>
        <v>2066134.8845522199</v>
      </c>
      <c r="I51" s="8">
        <v>0.10100000000000001</v>
      </c>
      <c r="J51" s="10">
        <f t="shared" si="3"/>
        <v>8.4166666666666678E-3</v>
      </c>
    </row>
    <row r="52" spans="1:10" x14ac:dyDescent="0.35">
      <c r="A52" s="2">
        <v>50</v>
      </c>
      <c r="B52" s="6">
        <v>45901</v>
      </c>
      <c r="C52" s="9">
        <f t="shared" si="6"/>
        <v>2066134.8845522199</v>
      </c>
      <c r="D52" s="9">
        <v>80000</v>
      </c>
      <c r="E52" s="9">
        <f t="shared" si="7"/>
        <v>62610.031388352145</v>
      </c>
      <c r="F52" s="9">
        <f t="shared" si="8"/>
        <v>17389.968611647852</v>
      </c>
      <c r="G52" s="2">
        <v>0</v>
      </c>
      <c r="H52" s="3">
        <f t="shared" si="5"/>
        <v>2003524.8531638677</v>
      </c>
      <c r="I52" s="8">
        <v>0.10100000000000001</v>
      </c>
      <c r="J52" s="10">
        <f t="shared" si="3"/>
        <v>8.4166666666666678E-3</v>
      </c>
    </row>
    <row r="53" spans="1:10" x14ac:dyDescent="0.35">
      <c r="A53" s="2">
        <v>51</v>
      </c>
      <c r="B53" s="6">
        <v>45931</v>
      </c>
      <c r="C53" s="9">
        <f t="shared" si="6"/>
        <v>2003524.8531638677</v>
      </c>
      <c r="D53" s="9">
        <v>80000</v>
      </c>
      <c r="E53" s="9">
        <f t="shared" si="7"/>
        <v>63136.99915253745</v>
      </c>
      <c r="F53" s="9">
        <f t="shared" si="8"/>
        <v>16863.000847462554</v>
      </c>
      <c r="G53" s="3">
        <v>0</v>
      </c>
      <c r="H53" s="3">
        <f t="shared" si="5"/>
        <v>1940387.8540113303</v>
      </c>
      <c r="I53" s="8">
        <v>0.10100000000000001</v>
      </c>
      <c r="J53" s="10">
        <f t="shared" si="3"/>
        <v>8.4166666666666678E-3</v>
      </c>
    </row>
    <row r="54" spans="1:10" x14ac:dyDescent="0.35">
      <c r="A54" s="2">
        <v>52</v>
      </c>
      <c r="B54" s="6">
        <v>45962</v>
      </c>
      <c r="C54" s="9">
        <f t="shared" si="6"/>
        <v>1940387.8540113303</v>
      </c>
      <c r="D54" s="9">
        <v>80000</v>
      </c>
      <c r="E54" s="9">
        <f t="shared" si="7"/>
        <v>63668.40222873797</v>
      </c>
      <c r="F54" s="9">
        <f t="shared" si="8"/>
        <v>16331.597771262032</v>
      </c>
      <c r="G54" s="3">
        <v>0</v>
      </c>
      <c r="H54" s="3">
        <f t="shared" si="5"/>
        <v>1876719.4517825923</v>
      </c>
      <c r="I54" s="8">
        <v>0.10100000000000001</v>
      </c>
      <c r="J54" s="10">
        <f t="shared" si="3"/>
        <v>8.4166666666666678E-3</v>
      </c>
    </row>
    <row r="55" spans="1:10" x14ac:dyDescent="0.35">
      <c r="A55" s="2">
        <v>53</v>
      </c>
      <c r="B55" s="6">
        <v>45992</v>
      </c>
      <c r="C55" s="9">
        <f t="shared" si="6"/>
        <v>1876719.4517825923</v>
      </c>
      <c r="D55" s="9">
        <v>80000</v>
      </c>
      <c r="E55" s="9">
        <f t="shared" si="7"/>
        <v>64204.277947496514</v>
      </c>
      <c r="F55" s="9">
        <f t="shared" si="8"/>
        <v>15795.722052503488</v>
      </c>
      <c r="G55" s="2">
        <v>0</v>
      </c>
      <c r="H55" s="3">
        <f t="shared" si="5"/>
        <v>1812515.1738350957</v>
      </c>
      <c r="I55" s="8">
        <v>0.10100000000000001</v>
      </c>
      <c r="J55" s="10">
        <f t="shared" si="3"/>
        <v>8.4166666666666678E-3</v>
      </c>
    </row>
    <row r="56" spans="1:10" x14ac:dyDescent="0.35">
      <c r="A56" s="2">
        <v>54</v>
      </c>
      <c r="B56" s="6">
        <v>46023</v>
      </c>
      <c r="C56" s="9">
        <f t="shared" si="6"/>
        <v>1812515.1738350957</v>
      </c>
      <c r="D56" s="9">
        <v>80000</v>
      </c>
      <c r="E56" s="9">
        <f t="shared" si="7"/>
        <v>64744.663953554613</v>
      </c>
      <c r="F56" s="9">
        <f t="shared" si="8"/>
        <v>15255.336046445391</v>
      </c>
      <c r="G56" s="3">
        <v>0</v>
      </c>
      <c r="H56" s="3">
        <f t="shared" si="5"/>
        <v>1747770.5098815411</v>
      </c>
      <c r="I56" s="8">
        <v>0.10100000000000001</v>
      </c>
      <c r="J56" s="10">
        <f t="shared" si="3"/>
        <v>8.4166666666666678E-3</v>
      </c>
    </row>
    <row r="57" spans="1:10" x14ac:dyDescent="0.35">
      <c r="A57" s="2">
        <v>55</v>
      </c>
      <c r="B57" s="6">
        <v>46054</v>
      </c>
      <c r="C57" s="9">
        <f t="shared" si="6"/>
        <v>1747770.5098815411</v>
      </c>
      <c r="D57" s="9">
        <v>80000</v>
      </c>
      <c r="E57" s="9">
        <f t="shared" si="7"/>
        <v>65289.598208497031</v>
      </c>
      <c r="F57" s="9">
        <f t="shared" si="8"/>
        <v>14710.401791502973</v>
      </c>
      <c r="G57" s="3">
        <v>0</v>
      </c>
      <c r="H57" s="3">
        <f t="shared" si="5"/>
        <v>1682480.9116730441</v>
      </c>
      <c r="I57" s="8">
        <v>0.10100000000000001</v>
      </c>
      <c r="J57" s="10">
        <f t="shared" si="3"/>
        <v>8.4166666666666678E-3</v>
      </c>
    </row>
    <row r="58" spans="1:10" x14ac:dyDescent="0.35">
      <c r="A58" s="2">
        <v>56</v>
      </c>
      <c r="B58" s="6">
        <v>46082</v>
      </c>
      <c r="C58" s="9">
        <f t="shared" si="6"/>
        <v>1682480.9116730441</v>
      </c>
      <c r="D58" s="9">
        <v>80000</v>
      </c>
      <c r="E58" s="9">
        <f t="shared" si="7"/>
        <v>65839.118993418539</v>
      </c>
      <c r="F58" s="9">
        <f t="shared" si="8"/>
        <v>14160.881006581456</v>
      </c>
      <c r="G58" s="2">
        <v>0</v>
      </c>
      <c r="H58" s="3">
        <f t="shared" si="5"/>
        <v>1616641.7926796256</v>
      </c>
      <c r="I58" s="8">
        <v>0.10100000000000001</v>
      </c>
      <c r="J58" s="10">
        <f t="shared" si="3"/>
        <v>8.4166666666666678E-3</v>
      </c>
    </row>
    <row r="59" spans="1:10" x14ac:dyDescent="0.35">
      <c r="A59" s="2">
        <v>57</v>
      </c>
      <c r="B59" s="6">
        <v>46113</v>
      </c>
      <c r="C59" s="9">
        <f t="shared" si="6"/>
        <v>1616641.7926796256</v>
      </c>
      <c r="D59" s="9">
        <v>90000</v>
      </c>
      <c r="E59" s="9">
        <f t="shared" si="7"/>
        <v>76393.264911613151</v>
      </c>
      <c r="F59" s="9">
        <f t="shared" si="8"/>
        <v>13606.735088386849</v>
      </c>
      <c r="G59" s="3">
        <v>0</v>
      </c>
      <c r="H59" s="3">
        <f t="shared" si="5"/>
        <v>1540248.5277680124</v>
      </c>
      <c r="I59" s="8">
        <v>0.10100000000000001</v>
      </c>
      <c r="J59" s="10">
        <f t="shared" si="3"/>
        <v>8.4166666666666678E-3</v>
      </c>
    </row>
    <row r="60" spans="1:10" x14ac:dyDescent="0.35">
      <c r="A60" s="2">
        <v>58</v>
      </c>
      <c r="B60" s="6">
        <v>46143</v>
      </c>
      <c r="C60" s="9">
        <f t="shared" si="6"/>
        <v>1540248.5277680124</v>
      </c>
      <c r="D60" s="9">
        <v>90000</v>
      </c>
      <c r="E60" s="9">
        <f t="shared" si="7"/>
        <v>77036.241557952555</v>
      </c>
      <c r="F60" s="9">
        <f t="shared" si="8"/>
        <v>12963.75844204744</v>
      </c>
      <c r="G60" s="3">
        <v>0</v>
      </c>
      <c r="H60" s="3">
        <f t="shared" si="5"/>
        <v>1463212.2862100599</v>
      </c>
      <c r="I60" s="8">
        <v>0.10100000000000001</v>
      </c>
      <c r="J60" s="10">
        <f t="shared" si="3"/>
        <v>8.4166666666666678E-3</v>
      </c>
    </row>
    <row r="61" spans="1:10" x14ac:dyDescent="0.35">
      <c r="A61" s="2">
        <v>59</v>
      </c>
      <c r="B61" s="6">
        <v>46174</v>
      </c>
      <c r="C61" s="9">
        <f t="shared" si="6"/>
        <v>1463212.2862100599</v>
      </c>
      <c r="D61" s="9">
        <v>90000</v>
      </c>
      <c r="E61" s="9">
        <f t="shared" si="7"/>
        <v>77684.629924398658</v>
      </c>
      <c r="F61" s="9">
        <f t="shared" si="8"/>
        <v>12315.370075601339</v>
      </c>
      <c r="G61" s="2">
        <v>0</v>
      </c>
      <c r="H61" s="3">
        <f t="shared" si="5"/>
        <v>1385527.6562856613</v>
      </c>
      <c r="I61" s="8">
        <v>0.10100000000000001</v>
      </c>
      <c r="J61" s="10">
        <f t="shared" si="3"/>
        <v>8.4166666666666678E-3</v>
      </c>
    </row>
    <row r="62" spans="1:10" x14ac:dyDescent="0.35">
      <c r="A62" s="2">
        <v>60</v>
      </c>
      <c r="B62" s="6">
        <v>46204</v>
      </c>
      <c r="C62" s="9">
        <f t="shared" si="6"/>
        <v>1385527.6562856613</v>
      </c>
      <c r="D62" s="9">
        <v>90000</v>
      </c>
      <c r="E62" s="9">
        <f t="shared" si="7"/>
        <v>78338.475559595681</v>
      </c>
      <c r="F62" s="9">
        <f t="shared" si="8"/>
        <v>11661.524440404317</v>
      </c>
      <c r="G62" s="3">
        <v>0</v>
      </c>
      <c r="H62" s="3">
        <f t="shared" si="5"/>
        <v>1307189.1807260655</v>
      </c>
      <c r="I62" s="8">
        <v>0.10100000000000001</v>
      </c>
      <c r="J62" s="10">
        <f t="shared" si="3"/>
        <v>8.4166666666666678E-3</v>
      </c>
    </row>
    <row r="63" spans="1:10" x14ac:dyDescent="0.35">
      <c r="A63" s="2">
        <v>61</v>
      </c>
      <c r="B63" s="6">
        <v>46235</v>
      </c>
      <c r="C63" s="9">
        <f t="shared" si="6"/>
        <v>1307189.1807260655</v>
      </c>
      <c r="D63" s="9">
        <v>90000</v>
      </c>
      <c r="E63" s="9">
        <f t="shared" si="7"/>
        <v>78997.82439555561</v>
      </c>
      <c r="F63" s="9">
        <f t="shared" si="8"/>
        <v>11002.175604444386</v>
      </c>
      <c r="G63" s="3">
        <v>0</v>
      </c>
      <c r="H63" s="3">
        <f t="shared" si="5"/>
        <v>1228191.35633051</v>
      </c>
      <c r="I63" s="8">
        <v>0.10100000000000001</v>
      </c>
      <c r="J63" s="10">
        <f t="shared" si="3"/>
        <v>8.4166666666666678E-3</v>
      </c>
    </row>
    <row r="64" spans="1:10" x14ac:dyDescent="0.35">
      <c r="A64" s="2">
        <v>62</v>
      </c>
      <c r="B64" s="6">
        <v>46266</v>
      </c>
      <c r="C64" s="9">
        <f t="shared" si="6"/>
        <v>1228191.35633051</v>
      </c>
      <c r="D64" s="9">
        <v>90000</v>
      </c>
      <c r="E64" s="9">
        <f t="shared" si="7"/>
        <v>79662.722750884874</v>
      </c>
      <c r="F64" s="9">
        <f t="shared" si="8"/>
        <v>10337.277249115126</v>
      </c>
      <c r="G64" s="2">
        <v>0</v>
      </c>
      <c r="H64" s="3">
        <f t="shared" si="5"/>
        <v>1148528.633579625</v>
      </c>
      <c r="I64" s="8">
        <v>0.10100000000000001</v>
      </c>
      <c r="J64" s="10">
        <f t="shared" si="3"/>
        <v>8.4166666666666678E-3</v>
      </c>
    </row>
    <row r="65" spans="1:10" x14ac:dyDescent="0.35">
      <c r="A65" s="2">
        <v>63</v>
      </c>
      <c r="B65" s="6">
        <v>46296</v>
      </c>
      <c r="C65" s="9">
        <f t="shared" si="6"/>
        <v>1148528.633579625</v>
      </c>
      <c r="D65" s="9">
        <v>90000</v>
      </c>
      <c r="E65" s="9">
        <f t="shared" si="7"/>
        <v>80333.217334038156</v>
      </c>
      <c r="F65" s="9">
        <f t="shared" si="8"/>
        <v>9666.7826659618459</v>
      </c>
      <c r="G65" s="3">
        <v>0</v>
      </c>
      <c r="H65" s="3">
        <f t="shared" si="5"/>
        <v>1068195.4162455869</v>
      </c>
      <c r="I65" s="8">
        <v>0.10100000000000001</v>
      </c>
      <c r="J65" s="10">
        <f t="shared" si="3"/>
        <v>8.4166666666666678E-3</v>
      </c>
    </row>
    <row r="66" spans="1:10" x14ac:dyDescent="0.35">
      <c r="A66" s="2">
        <v>64</v>
      </c>
      <c r="B66" s="6">
        <v>46327</v>
      </c>
      <c r="C66" s="9">
        <f t="shared" si="6"/>
        <v>1068195.4162455869</v>
      </c>
      <c r="D66" s="9">
        <v>90000</v>
      </c>
      <c r="E66" s="9">
        <f t="shared" si="7"/>
        <v>81009.355246599647</v>
      </c>
      <c r="F66" s="9">
        <f t="shared" si="8"/>
        <v>8990.6447534003582</v>
      </c>
      <c r="G66" s="3">
        <v>0</v>
      </c>
      <c r="H66" s="3">
        <f t="shared" si="5"/>
        <v>987186.06099898729</v>
      </c>
      <c r="I66" s="8">
        <v>0.10100000000000001</v>
      </c>
      <c r="J66" s="10">
        <f t="shared" si="3"/>
        <v>8.4166666666666678E-3</v>
      </c>
    </row>
    <row r="67" spans="1:10" x14ac:dyDescent="0.35">
      <c r="A67" s="2">
        <v>65</v>
      </c>
      <c r="B67" s="6">
        <v>46357</v>
      </c>
      <c r="C67" s="9">
        <f t="shared" si="6"/>
        <v>987186.06099898729</v>
      </c>
      <c r="D67" s="9">
        <v>90000</v>
      </c>
      <c r="E67" s="9">
        <f t="shared" si="7"/>
        <v>81691.183986591859</v>
      </c>
      <c r="F67" s="9">
        <f t="shared" si="8"/>
        <v>8308.8160134081445</v>
      </c>
      <c r="G67" s="2">
        <v>0</v>
      </c>
      <c r="H67" s="3">
        <f t="shared" si="5"/>
        <v>905494.87701239542</v>
      </c>
      <c r="I67" s="8">
        <v>0.10100000000000001</v>
      </c>
      <c r="J67" s="10">
        <f t="shared" ref="J67:J130" si="9">I67/12</f>
        <v>8.4166666666666678E-3</v>
      </c>
    </row>
    <row r="68" spans="1:10" x14ac:dyDescent="0.35">
      <c r="A68" s="2">
        <v>66</v>
      </c>
      <c r="B68" s="6">
        <v>46388</v>
      </c>
      <c r="C68" s="9">
        <f t="shared" si="6"/>
        <v>905494.87701239542</v>
      </c>
      <c r="D68" s="9">
        <v>90000</v>
      </c>
      <c r="E68" s="9">
        <f t="shared" si="7"/>
        <v>82378.751451812335</v>
      </c>
      <c r="F68" s="9">
        <f t="shared" si="8"/>
        <v>7621.248548187662</v>
      </c>
      <c r="G68" s="3">
        <v>0</v>
      </c>
      <c r="H68" s="3">
        <f t="shared" ref="H68:H131" si="10">C68-E68-G68</f>
        <v>823116.12556058308</v>
      </c>
      <c r="I68" s="8">
        <v>0.10100000000000001</v>
      </c>
      <c r="J68" s="10">
        <f t="shared" si="9"/>
        <v>8.4166666666666678E-3</v>
      </c>
    </row>
    <row r="69" spans="1:10" x14ac:dyDescent="0.35">
      <c r="A69" s="2">
        <v>67</v>
      </c>
      <c r="B69" s="6">
        <v>46419</v>
      </c>
      <c r="C69" s="9">
        <f t="shared" ref="C69:C132" si="11">H68</f>
        <v>823116.12556058308</v>
      </c>
      <c r="D69" s="9">
        <v>90000</v>
      </c>
      <c r="E69" s="9">
        <f t="shared" ref="E69:E132" si="12">D69-F69</f>
        <v>83072.105943198432</v>
      </c>
      <c r="F69" s="9">
        <f t="shared" ref="F69:F132" si="13">C69*J69</f>
        <v>6927.8940568015751</v>
      </c>
      <c r="G69" s="3">
        <v>0</v>
      </c>
      <c r="H69" s="3">
        <f t="shared" si="10"/>
        <v>740044.01961738465</v>
      </c>
      <c r="I69" s="8">
        <v>0.10100000000000001</v>
      </c>
      <c r="J69" s="10">
        <f t="shared" si="9"/>
        <v>8.4166666666666678E-3</v>
      </c>
    </row>
    <row r="70" spans="1:10" x14ac:dyDescent="0.35">
      <c r="A70" s="2">
        <v>68</v>
      </c>
      <c r="B70" s="6">
        <v>46447</v>
      </c>
      <c r="C70" s="9">
        <f t="shared" si="11"/>
        <v>740044.01961738465</v>
      </c>
      <c r="D70" s="9">
        <v>90000</v>
      </c>
      <c r="E70" s="9">
        <f t="shared" si="12"/>
        <v>83771.296168220346</v>
      </c>
      <c r="F70" s="9">
        <f t="shared" si="13"/>
        <v>6228.703831779655</v>
      </c>
      <c r="G70" s="2">
        <v>0</v>
      </c>
      <c r="H70" s="3">
        <f t="shared" si="10"/>
        <v>656272.7234491643</v>
      </c>
      <c r="I70" s="8">
        <v>0.10100000000000001</v>
      </c>
      <c r="J70" s="10">
        <f t="shared" si="9"/>
        <v>8.4166666666666678E-3</v>
      </c>
    </row>
    <row r="71" spans="1:10" x14ac:dyDescent="0.35">
      <c r="A71" s="2">
        <v>69</v>
      </c>
      <c r="B71" s="6">
        <v>46478</v>
      </c>
      <c r="C71" s="9">
        <f t="shared" si="11"/>
        <v>656272.7234491643</v>
      </c>
      <c r="D71" s="9">
        <v>90000</v>
      </c>
      <c r="E71" s="9">
        <f t="shared" si="12"/>
        <v>84476.371244302863</v>
      </c>
      <c r="F71" s="9">
        <f t="shared" si="13"/>
        <v>5523.6287556971338</v>
      </c>
      <c r="G71" s="3">
        <v>0</v>
      </c>
      <c r="H71" s="3">
        <f t="shared" si="10"/>
        <v>571796.35220486147</v>
      </c>
      <c r="I71" s="8">
        <v>0.10100000000000001</v>
      </c>
      <c r="J71" s="10">
        <f t="shared" si="9"/>
        <v>8.4166666666666678E-3</v>
      </c>
    </row>
    <row r="72" spans="1:10" x14ac:dyDescent="0.35">
      <c r="A72" s="2">
        <v>70</v>
      </c>
      <c r="B72" s="6">
        <v>46508</v>
      </c>
      <c r="C72" s="9">
        <f t="shared" si="11"/>
        <v>571796.35220486147</v>
      </c>
      <c r="D72" s="9">
        <v>90000</v>
      </c>
      <c r="E72" s="9">
        <f t="shared" si="12"/>
        <v>85187.380702275754</v>
      </c>
      <c r="F72" s="9">
        <f t="shared" si="13"/>
        <v>4812.6192977242517</v>
      </c>
      <c r="G72" s="3">
        <v>0</v>
      </c>
      <c r="H72" s="3">
        <f t="shared" si="10"/>
        <v>486608.97150258569</v>
      </c>
      <c r="I72" s="8">
        <v>0.10100000000000001</v>
      </c>
      <c r="J72" s="10">
        <f t="shared" si="9"/>
        <v>8.4166666666666678E-3</v>
      </c>
    </row>
    <row r="73" spans="1:10" x14ac:dyDescent="0.35">
      <c r="A73" s="2">
        <v>71</v>
      </c>
      <c r="B73" s="6">
        <v>46539</v>
      </c>
      <c r="C73" s="9">
        <f t="shared" si="11"/>
        <v>486608.97150258569</v>
      </c>
      <c r="D73" s="9">
        <v>90000</v>
      </c>
      <c r="E73" s="9">
        <f t="shared" si="12"/>
        <v>85904.374489853231</v>
      </c>
      <c r="F73" s="9">
        <f t="shared" si="13"/>
        <v>4095.6255101467632</v>
      </c>
      <c r="G73" s="2">
        <v>0</v>
      </c>
      <c r="H73" s="3">
        <f t="shared" si="10"/>
        <v>400704.59701273247</v>
      </c>
      <c r="I73" s="8">
        <v>0.10100000000000001</v>
      </c>
      <c r="J73" s="10">
        <f t="shared" si="9"/>
        <v>8.4166666666666678E-3</v>
      </c>
    </row>
    <row r="74" spans="1:10" x14ac:dyDescent="0.35">
      <c r="A74" s="2">
        <v>72</v>
      </c>
      <c r="B74" s="6">
        <v>46569</v>
      </c>
      <c r="C74" s="9">
        <f t="shared" si="11"/>
        <v>400704.59701273247</v>
      </c>
      <c r="D74" s="9">
        <v>90000</v>
      </c>
      <c r="E74" s="9">
        <f t="shared" si="12"/>
        <v>86627.402975142832</v>
      </c>
      <c r="F74" s="9">
        <f t="shared" si="13"/>
        <v>3372.5970248571653</v>
      </c>
      <c r="G74" s="3">
        <v>0</v>
      </c>
      <c r="H74" s="3">
        <f t="shared" si="10"/>
        <v>314077.19403758965</v>
      </c>
      <c r="I74" s="8">
        <v>0.10100000000000001</v>
      </c>
      <c r="J74" s="10">
        <f t="shared" si="9"/>
        <v>8.4166666666666678E-3</v>
      </c>
    </row>
    <row r="75" spans="1:10" x14ac:dyDescent="0.35">
      <c r="A75" s="2">
        <v>73</v>
      </c>
      <c r="B75" s="6">
        <v>46600</v>
      </c>
      <c r="C75" s="9">
        <f t="shared" si="11"/>
        <v>314077.19403758965</v>
      </c>
      <c r="D75" s="9">
        <v>90000</v>
      </c>
      <c r="E75" s="9">
        <f t="shared" si="12"/>
        <v>87356.516950183621</v>
      </c>
      <c r="F75" s="9">
        <f t="shared" si="13"/>
        <v>2643.4830498163801</v>
      </c>
      <c r="G75" s="3">
        <v>0</v>
      </c>
      <c r="H75" s="3">
        <f t="shared" si="10"/>
        <v>226720.67708740605</v>
      </c>
      <c r="I75" s="8">
        <v>0.10100000000000001</v>
      </c>
      <c r="J75" s="10">
        <f t="shared" si="9"/>
        <v>8.4166666666666678E-3</v>
      </c>
    </row>
    <row r="76" spans="1:10" x14ac:dyDescent="0.35">
      <c r="A76" s="2">
        <v>74</v>
      </c>
      <c r="B76" s="6">
        <v>46631</v>
      </c>
      <c r="C76" s="9">
        <f t="shared" si="11"/>
        <v>226720.67708740605</v>
      </c>
      <c r="D76" s="9">
        <v>90000</v>
      </c>
      <c r="E76" s="9">
        <f t="shared" si="12"/>
        <v>88091.767634514326</v>
      </c>
      <c r="F76" s="9">
        <f t="shared" si="13"/>
        <v>1908.2323654856677</v>
      </c>
      <c r="G76" s="2">
        <v>0</v>
      </c>
      <c r="H76" s="3">
        <f t="shared" si="10"/>
        <v>138628.90945289173</v>
      </c>
      <c r="I76" s="8">
        <v>0.10100000000000001</v>
      </c>
      <c r="J76" s="10">
        <f t="shared" si="9"/>
        <v>8.4166666666666678E-3</v>
      </c>
    </row>
    <row r="77" spans="1:10" x14ac:dyDescent="0.35">
      <c r="A77" s="2">
        <v>75</v>
      </c>
      <c r="B77" s="6">
        <v>46661</v>
      </c>
      <c r="C77" s="9">
        <f t="shared" si="11"/>
        <v>138628.90945289173</v>
      </c>
      <c r="D77" s="9">
        <v>90000</v>
      </c>
      <c r="E77" s="9">
        <f t="shared" si="12"/>
        <v>88833.206678771501</v>
      </c>
      <c r="F77" s="9">
        <f t="shared" si="13"/>
        <v>1166.7933212285056</v>
      </c>
      <c r="G77" s="3">
        <v>0</v>
      </c>
      <c r="H77" s="3">
        <f t="shared" si="10"/>
        <v>49795.702774120233</v>
      </c>
      <c r="I77" s="8">
        <v>0.10100000000000001</v>
      </c>
      <c r="J77" s="10">
        <f t="shared" si="9"/>
        <v>8.4166666666666678E-3</v>
      </c>
    </row>
    <row r="78" spans="1:10" x14ac:dyDescent="0.35">
      <c r="A78" s="2">
        <v>76</v>
      </c>
      <c r="B78" s="6">
        <v>46692</v>
      </c>
      <c r="C78" s="9">
        <f t="shared" si="11"/>
        <v>49795.702774120233</v>
      </c>
      <c r="D78" s="9">
        <v>90000</v>
      </c>
      <c r="E78" s="9">
        <f t="shared" si="12"/>
        <v>89580.886168317826</v>
      </c>
      <c r="F78" s="9">
        <f t="shared" si="13"/>
        <v>419.11383168217867</v>
      </c>
      <c r="G78" s="3">
        <v>0</v>
      </c>
      <c r="H78" s="3">
        <f t="shared" si="10"/>
        <v>-39785.183394197593</v>
      </c>
      <c r="I78" s="8">
        <v>0.10100000000000001</v>
      </c>
      <c r="J78" s="10">
        <f t="shared" si="9"/>
        <v>8.4166666666666678E-3</v>
      </c>
    </row>
    <row r="79" spans="1:10" x14ac:dyDescent="0.35">
      <c r="A79" s="2">
        <v>77</v>
      </c>
      <c r="B79" s="6">
        <v>46722</v>
      </c>
      <c r="C79" s="9">
        <f t="shared" si="11"/>
        <v>-39785.183394197593</v>
      </c>
      <c r="D79" s="9">
        <v>90000</v>
      </c>
      <c r="E79" s="9">
        <f t="shared" si="12"/>
        <v>90334.858626901158</v>
      </c>
      <c r="F79" s="9">
        <f t="shared" si="13"/>
        <v>-334.85862690116312</v>
      </c>
      <c r="G79" s="2">
        <v>0</v>
      </c>
      <c r="H79" s="3">
        <f t="shared" si="10"/>
        <v>-130120.04202109875</v>
      </c>
      <c r="I79" s="8">
        <v>0.10100000000000001</v>
      </c>
      <c r="J79" s="10">
        <f t="shared" si="9"/>
        <v>8.4166666666666678E-3</v>
      </c>
    </row>
    <row r="80" spans="1:10" x14ac:dyDescent="0.35">
      <c r="A80" s="2">
        <v>78</v>
      </c>
      <c r="B80" s="6">
        <v>46753</v>
      </c>
      <c r="C80" s="9">
        <f t="shared" si="11"/>
        <v>-130120.04202109875</v>
      </c>
      <c r="D80" s="9">
        <v>90000</v>
      </c>
      <c r="E80" s="9">
        <f t="shared" si="12"/>
        <v>91095.177020344243</v>
      </c>
      <c r="F80" s="9">
        <f t="shared" si="13"/>
        <v>-1095.1770203442479</v>
      </c>
      <c r="G80" s="3">
        <v>0</v>
      </c>
      <c r="H80" s="3">
        <f t="shared" si="10"/>
        <v>-221215.21904144299</v>
      </c>
      <c r="I80" s="8">
        <v>0.10100000000000001</v>
      </c>
      <c r="J80" s="10">
        <f t="shared" si="9"/>
        <v>8.4166666666666678E-3</v>
      </c>
    </row>
    <row r="81" spans="1:10" x14ac:dyDescent="0.35">
      <c r="A81" s="2">
        <v>79</v>
      </c>
      <c r="B81" s="6">
        <v>46784</v>
      </c>
      <c r="C81" s="9">
        <f t="shared" si="11"/>
        <v>-221215.21904144299</v>
      </c>
      <c r="D81" s="9">
        <v>90000</v>
      </c>
      <c r="E81" s="9">
        <f t="shared" si="12"/>
        <v>91861.894760265481</v>
      </c>
      <c r="F81" s="9">
        <f t="shared" si="13"/>
        <v>-1861.8947602654787</v>
      </c>
      <c r="G81" s="3">
        <v>0</v>
      </c>
      <c r="H81" s="3">
        <f t="shared" si="10"/>
        <v>-313077.11380170844</v>
      </c>
      <c r="I81" s="8">
        <v>0.10100000000000001</v>
      </c>
      <c r="J81" s="10">
        <f t="shared" si="9"/>
        <v>8.4166666666666678E-3</v>
      </c>
    </row>
    <row r="82" spans="1:10" x14ac:dyDescent="0.35">
      <c r="A82" s="2">
        <v>80</v>
      </c>
      <c r="B82" s="6">
        <v>46813</v>
      </c>
      <c r="C82" s="9">
        <f t="shared" si="11"/>
        <v>-313077.11380170844</v>
      </c>
      <c r="D82" s="9">
        <v>90000</v>
      </c>
      <c r="E82" s="9">
        <f t="shared" si="12"/>
        <v>92635.065707831047</v>
      </c>
      <c r="F82" s="9">
        <f t="shared" si="13"/>
        <v>-2635.0657078310464</v>
      </c>
      <c r="G82" s="2">
        <v>0</v>
      </c>
      <c r="H82" s="3">
        <f t="shared" si="10"/>
        <v>-405712.17950953951</v>
      </c>
      <c r="I82" s="8">
        <v>0.10100000000000001</v>
      </c>
      <c r="J82" s="10">
        <f t="shared" si="9"/>
        <v>8.4166666666666678E-3</v>
      </c>
    </row>
    <row r="83" spans="1:10" x14ac:dyDescent="0.35">
      <c r="A83" s="2">
        <v>81</v>
      </c>
      <c r="B83" s="6">
        <v>46844</v>
      </c>
      <c r="C83" s="9">
        <f t="shared" si="11"/>
        <v>-405712.17950953951</v>
      </c>
      <c r="D83" s="9">
        <v>90000</v>
      </c>
      <c r="E83" s="9">
        <f t="shared" si="12"/>
        <v>93414.744177538625</v>
      </c>
      <c r="F83" s="9">
        <f t="shared" si="13"/>
        <v>-3414.7441775386246</v>
      </c>
      <c r="G83" s="3">
        <v>0</v>
      </c>
      <c r="H83" s="3">
        <f t="shared" si="10"/>
        <v>-499126.92368707812</v>
      </c>
      <c r="I83" s="8">
        <v>0.10100000000000001</v>
      </c>
      <c r="J83" s="10">
        <f t="shared" si="9"/>
        <v>8.4166666666666678E-3</v>
      </c>
    </row>
    <row r="84" spans="1:10" x14ac:dyDescent="0.35">
      <c r="A84" s="2">
        <v>82</v>
      </c>
      <c r="B84" s="6">
        <v>46874</v>
      </c>
      <c r="C84" s="9">
        <f t="shared" si="11"/>
        <v>-499126.92368707812</v>
      </c>
      <c r="D84" s="9">
        <v>90000</v>
      </c>
      <c r="E84" s="9">
        <f t="shared" si="12"/>
        <v>94200.984941032904</v>
      </c>
      <c r="F84" s="9">
        <f t="shared" si="13"/>
        <v>-4200.984941032908</v>
      </c>
      <c r="G84" s="3">
        <v>0</v>
      </c>
      <c r="H84" s="3">
        <f t="shared" si="10"/>
        <v>-593327.90862811101</v>
      </c>
      <c r="I84" s="8">
        <v>0.10100000000000001</v>
      </c>
      <c r="J84" s="10">
        <f t="shared" si="9"/>
        <v>8.4166666666666678E-3</v>
      </c>
    </row>
    <row r="85" spans="1:10" x14ac:dyDescent="0.35">
      <c r="A85" s="2">
        <v>83</v>
      </c>
      <c r="B85" s="6">
        <v>46905</v>
      </c>
      <c r="C85" s="9">
        <f t="shared" si="11"/>
        <v>-593327.90862811101</v>
      </c>
      <c r="D85" s="9">
        <v>90000</v>
      </c>
      <c r="E85" s="9">
        <f t="shared" si="12"/>
        <v>94993.843230953265</v>
      </c>
      <c r="F85" s="9">
        <f t="shared" si="13"/>
        <v>-4993.8432309532682</v>
      </c>
      <c r="G85" s="2">
        <v>0</v>
      </c>
      <c r="H85" s="3">
        <f t="shared" si="10"/>
        <v>-688321.75185906421</v>
      </c>
      <c r="I85" s="8">
        <v>0.10100000000000001</v>
      </c>
      <c r="J85" s="10">
        <f t="shared" si="9"/>
        <v>8.4166666666666678E-3</v>
      </c>
    </row>
    <row r="86" spans="1:10" x14ac:dyDescent="0.35">
      <c r="A86" s="2">
        <v>84</v>
      </c>
      <c r="B86" s="6">
        <v>46935</v>
      </c>
      <c r="C86" s="9">
        <f t="shared" si="11"/>
        <v>-688321.75185906421</v>
      </c>
      <c r="D86" s="9">
        <v>90000</v>
      </c>
      <c r="E86" s="9">
        <f t="shared" si="12"/>
        <v>95793.374744813787</v>
      </c>
      <c r="F86" s="9">
        <f t="shared" si="13"/>
        <v>-5793.374744813791</v>
      </c>
      <c r="G86" s="3">
        <v>0</v>
      </c>
      <c r="H86" s="3">
        <f t="shared" si="10"/>
        <v>-784115.12660387799</v>
      </c>
      <c r="I86" s="8">
        <v>0.10100000000000001</v>
      </c>
      <c r="J86" s="10">
        <f t="shared" si="9"/>
        <v>8.4166666666666678E-3</v>
      </c>
    </row>
    <row r="87" spans="1:10" x14ac:dyDescent="0.35">
      <c r="A87" s="2">
        <v>85</v>
      </c>
      <c r="B87" s="6">
        <v>46966</v>
      </c>
      <c r="C87" s="9">
        <f t="shared" si="11"/>
        <v>-784115.12660387799</v>
      </c>
      <c r="D87" s="9">
        <v>90000</v>
      </c>
      <c r="E87" s="9">
        <f t="shared" si="12"/>
        <v>96599.635648915981</v>
      </c>
      <c r="F87" s="9">
        <f t="shared" si="13"/>
        <v>-6599.6356489159743</v>
      </c>
      <c r="G87" s="3">
        <v>0</v>
      </c>
      <c r="H87" s="3">
        <f t="shared" si="10"/>
        <v>-880714.762252794</v>
      </c>
      <c r="I87" s="8">
        <v>0.10100000000000001</v>
      </c>
      <c r="J87" s="10">
        <f t="shared" si="9"/>
        <v>8.4166666666666678E-3</v>
      </c>
    </row>
    <row r="88" spans="1:10" x14ac:dyDescent="0.35">
      <c r="A88" s="2">
        <v>86</v>
      </c>
      <c r="B88" s="6">
        <v>46997</v>
      </c>
      <c r="C88" s="9">
        <f t="shared" si="11"/>
        <v>-880714.762252794</v>
      </c>
      <c r="D88" s="9">
        <v>90000</v>
      </c>
      <c r="E88" s="9">
        <f t="shared" si="12"/>
        <v>97412.68258229435</v>
      </c>
      <c r="F88" s="9">
        <f t="shared" si="13"/>
        <v>-7412.6825822943501</v>
      </c>
      <c r="G88" s="2">
        <v>0</v>
      </c>
      <c r="H88" s="3">
        <f t="shared" si="10"/>
        <v>-978127.44483508833</v>
      </c>
      <c r="I88" s="8">
        <v>0.10100000000000001</v>
      </c>
      <c r="J88" s="10">
        <f t="shared" si="9"/>
        <v>8.4166666666666678E-3</v>
      </c>
    </row>
    <row r="89" spans="1:10" x14ac:dyDescent="0.35">
      <c r="A89" s="2">
        <v>87</v>
      </c>
      <c r="B89" s="6">
        <v>47027</v>
      </c>
      <c r="C89" s="9">
        <f t="shared" si="11"/>
        <v>-978127.44483508833</v>
      </c>
      <c r="D89" s="9">
        <v>90000</v>
      </c>
      <c r="E89" s="9">
        <f t="shared" si="12"/>
        <v>98232.572660695325</v>
      </c>
      <c r="F89" s="9">
        <f t="shared" si="13"/>
        <v>-8232.5726606953285</v>
      </c>
      <c r="G89" s="3">
        <v>0</v>
      </c>
      <c r="H89" s="3">
        <f t="shared" si="10"/>
        <v>-1076360.0174957837</v>
      </c>
      <c r="I89" s="8">
        <v>0.10100000000000001</v>
      </c>
      <c r="J89" s="10">
        <f t="shared" si="9"/>
        <v>8.4166666666666678E-3</v>
      </c>
    </row>
    <row r="90" spans="1:10" x14ac:dyDescent="0.35">
      <c r="A90" s="2">
        <v>88</v>
      </c>
      <c r="B90" s="6">
        <v>47058</v>
      </c>
      <c r="C90" s="9">
        <f t="shared" si="11"/>
        <v>-1076360.0174957837</v>
      </c>
      <c r="D90" s="9">
        <v>90000</v>
      </c>
      <c r="E90" s="9">
        <f t="shared" si="12"/>
        <v>99059.363480589513</v>
      </c>
      <c r="F90" s="9">
        <f t="shared" si="13"/>
        <v>-9059.3634805895144</v>
      </c>
      <c r="G90" s="3">
        <v>0</v>
      </c>
      <c r="H90" s="3">
        <f t="shared" si="10"/>
        <v>-1175419.3809763733</v>
      </c>
      <c r="I90" s="8">
        <v>0.10100000000000001</v>
      </c>
      <c r="J90" s="10">
        <f t="shared" si="9"/>
        <v>8.4166666666666678E-3</v>
      </c>
    </row>
    <row r="91" spans="1:10" x14ac:dyDescent="0.35">
      <c r="A91" s="2">
        <v>89</v>
      </c>
      <c r="B91" s="6">
        <v>47088</v>
      </c>
      <c r="C91" s="9">
        <f t="shared" si="11"/>
        <v>-1175419.3809763733</v>
      </c>
      <c r="D91" s="9">
        <v>90000</v>
      </c>
      <c r="E91" s="9">
        <f t="shared" si="12"/>
        <v>99893.113123217816</v>
      </c>
      <c r="F91" s="9">
        <f t="shared" si="13"/>
        <v>-9893.1131232178104</v>
      </c>
      <c r="G91" s="2">
        <v>0</v>
      </c>
      <c r="H91" s="3">
        <f t="shared" si="10"/>
        <v>-1275312.4940995912</v>
      </c>
      <c r="I91" s="8">
        <v>0.10100000000000001</v>
      </c>
      <c r="J91" s="10">
        <f t="shared" si="9"/>
        <v>8.4166666666666678E-3</v>
      </c>
    </row>
    <row r="92" spans="1:10" x14ac:dyDescent="0.35">
      <c r="A92" s="2">
        <v>90</v>
      </c>
      <c r="B92" s="6">
        <v>47119</v>
      </c>
      <c r="C92" s="9">
        <f t="shared" si="11"/>
        <v>-1275312.4940995912</v>
      </c>
      <c r="D92" s="9">
        <v>90000</v>
      </c>
      <c r="E92" s="9">
        <f t="shared" si="12"/>
        <v>100733.88015867156</v>
      </c>
      <c r="F92" s="9">
        <f t="shared" si="13"/>
        <v>-10733.88015867156</v>
      </c>
      <c r="G92" s="3">
        <v>0</v>
      </c>
      <c r="H92" s="3">
        <f t="shared" si="10"/>
        <v>-1376046.3742582628</v>
      </c>
      <c r="I92" s="8">
        <v>0.10100000000000001</v>
      </c>
      <c r="J92" s="10">
        <f t="shared" si="9"/>
        <v>8.4166666666666678E-3</v>
      </c>
    </row>
    <row r="93" spans="1:10" x14ac:dyDescent="0.35">
      <c r="A93" s="2">
        <v>91</v>
      </c>
      <c r="B93" s="6">
        <v>47150</v>
      </c>
      <c r="C93" s="9">
        <f t="shared" si="11"/>
        <v>-1376046.3742582628</v>
      </c>
      <c r="D93" s="9">
        <v>90000</v>
      </c>
      <c r="E93" s="9">
        <f t="shared" si="12"/>
        <v>101581.72365000704</v>
      </c>
      <c r="F93" s="9">
        <f t="shared" si="13"/>
        <v>-11581.723650007047</v>
      </c>
      <c r="G93" s="3">
        <v>0</v>
      </c>
      <c r="H93" s="3">
        <f t="shared" si="10"/>
        <v>-1477628.0979082698</v>
      </c>
      <c r="I93" s="8">
        <v>0.10100000000000001</v>
      </c>
      <c r="J93" s="10">
        <f t="shared" si="9"/>
        <v>8.4166666666666678E-3</v>
      </c>
    </row>
    <row r="94" spans="1:10" x14ac:dyDescent="0.35">
      <c r="A94" s="2">
        <v>92</v>
      </c>
      <c r="B94" s="6">
        <v>47178</v>
      </c>
      <c r="C94" s="9">
        <f t="shared" si="11"/>
        <v>-1477628.0979082698</v>
      </c>
      <c r="D94" s="9">
        <v>90000</v>
      </c>
      <c r="E94" s="9">
        <f t="shared" si="12"/>
        <v>102436.7031573946</v>
      </c>
      <c r="F94" s="9">
        <f t="shared" si="13"/>
        <v>-12436.703157394606</v>
      </c>
      <c r="G94" s="2">
        <v>0</v>
      </c>
      <c r="H94" s="3">
        <f t="shared" si="10"/>
        <v>-1580064.8010656645</v>
      </c>
      <c r="I94" s="8">
        <v>0.10100000000000001</v>
      </c>
      <c r="J94" s="10">
        <f t="shared" si="9"/>
        <v>8.4166666666666678E-3</v>
      </c>
    </row>
    <row r="95" spans="1:10" x14ac:dyDescent="0.35">
      <c r="A95" s="2">
        <v>93</v>
      </c>
      <c r="B95" s="6">
        <v>47209</v>
      </c>
      <c r="C95" s="9">
        <f t="shared" si="11"/>
        <v>-1580064.8010656645</v>
      </c>
      <c r="D95" s="9">
        <v>90000</v>
      </c>
      <c r="E95" s="9">
        <f t="shared" si="12"/>
        <v>103298.87874230268</v>
      </c>
      <c r="F95" s="9">
        <f t="shared" si="13"/>
        <v>-13298.878742302679</v>
      </c>
      <c r="G95" s="3">
        <v>0</v>
      </c>
      <c r="H95" s="3">
        <f t="shared" si="10"/>
        <v>-1683363.6798079673</v>
      </c>
      <c r="I95" s="8">
        <v>0.10100000000000001</v>
      </c>
      <c r="J95" s="10">
        <f t="shared" si="9"/>
        <v>8.4166666666666678E-3</v>
      </c>
    </row>
    <row r="96" spans="1:10" x14ac:dyDescent="0.35">
      <c r="A96" s="2">
        <v>94</v>
      </c>
      <c r="B96" s="6">
        <v>47239</v>
      </c>
      <c r="C96" s="9">
        <f t="shared" si="11"/>
        <v>-1683363.6798079673</v>
      </c>
      <c r="D96" s="9">
        <v>90000</v>
      </c>
      <c r="E96" s="9">
        <f t="shared" si="12"/>
        <v>104168.31097171706</v>
      </c>
      <c r="F96" s="9">
        <f t="shared" si="13"/>
        <v>-14168.310971717059</v>
      </c>
      <c r="G96" s="3">
        <v>0</v>
      </c>
      <c r="H96" s="3">
        <f t="shared" si="10"/>
        <v>-1787531.9907796844</v>
      </c>
      <c r="I96" s="8">
        <v>0.10100000000000001</v>
      </c>
      <c r="J96" s="10">
        <f t="shared" si="9"/>
        <v>8.4166666666666678E-3</v>
      </c>
    </row>
    <row r="97" spans="1:10" x14ac:dyDescent="0.35">
      <c r="A97" s="2">
        <v>95</v>
      </c>
      <c r="B97" s="6">
        <v>47270</v>
      </c>
      <c r="C97" s="9">
        <f t="shared" si="11"/>
        <v>-1787531.9907796844</v>
      </c>
      <c r="D97" s="9">
        <v>90000</v>
      </c>
      <c r="E97" s="9">
        <f t="shared" si="12"/>
        <v>105045.06092239567</v>
      </c>
      <c r="F97" s="9">
        <f t="shared" si="13"/>
        <v>-15045.060922395678</v>
      </c>
      <c r="G97" s="2">
        <v>0</v>
      </c>
      <c r="H97" s="3">
        <f t="shared" si="10"/>
        <v>-1892577.0517020801</v>
      </c>
      <c r="I97" s="8">
        <v>0.10100000000000001</v>
      </c>
      <c r="J97" s="10">
        <f t="shared" si="9"/>
        <v>8.4166666666666678E-3</v>
      </c>
    </row>
    <row r="98" spans="1:10" x14ac:dyDescent="0.35">
      <c r="A98" s="2">
        <v>96</v>
      </c>
      <c r="B98" s="6">
        <v>47300</v>
      </c>
      <c r="C98" s="9">
        <f t="shared" si="11"/>
        <v>-1892577.0517020801</v>
      </c>
      <c r="D98" s="9">
        <v>90000</v>
      </c>
      <c r="E98" s="9">
        <f t="shared" si="12"/>
        <v>105929.19018515918</v>
      </c>
      <c r="F98" s="9">
        <f t="shared" si="13"/>
        <v>-15929.190185159176</v>
      </c>
      <c r="G98" s="3">
        <v>0</v>
      </c>
      <c r="H98" s="3">
        <f t="shared" si="10"/>
        <v>-1998506.2418872393</v>
      </c>
      <c r="I98" s="8">
        <v>0.10100000000000001</v>
      </c>
      <c r="J98" s="10">
        <f t="shared" si="9"/>
        <v>8.4166666666666678E-3</v>
      </c>
    </row>
    <row r="99" spans="1:10" x14ac:dyDescent="0.35">
      <c r="A99" s="2">
        <v>97</v>
      </c>
      <c r="B99" s="6">
        <v>47331</v>
      </c>
      <c r="C99" s="9">
        <f t="shared" si="11"/>
        <v>-1998506.2418872393</v>
      </c>
      <c r="D99" s="9">
        <v>90000</v>
      </c>
      <c r="E99" s="9">
        <f t="shared" si="12"/>
        <v>106820.7608692176</v>
      </c>
      <c r="F99" s="9">
        <f t="shared" si="13"/>
        <v>-16820.7608692176</v>
      </c>
      <c r="G99" s="3">
        <v>0</v>
      </c>
      <c r="H99" s="3">
        <f t="shared" si="10"/>
        <v>-2105327.0027564568</v>
      </c>
      <c r="I99" s="8">
        <v>0.10100000000000001</v>
      </c>
      <c r="J99" s="10">
        <f t="shared" si="9"/>
        <v>8.4166666666666678E-3</v>
      </c>
    </row>
    <row r="100" spans="1:10" x14ac:dyDescent="0.35">
      <c r="A100" s="2">
        <v>98</v>
      </c>
      <c r="B100" s="6">
        <v>47362</v>
      </c>
      <c r="C100" s="9">
        <f t="shared" si="11"/>
        <v>-2105327.0027564568</v>
      </c>
      <c r="D100" s="9">
        <v>90000</v>
      </c>
      <c r="E100" s="9">
        <f t="shared" si="12"/>
        <v>107719.83560653351</v>
      </c>
      <c r="F100" s="9">
        <f t="shared" si="13"/>
        <v>-17719.835606533514</v>
      </c>
      <c r="G100" s="2">
        <v>0</v>
      </c>
      <c r="H100" s="3">
        <f t="shared" si="10"/>
        <v>-2213046.8383629904</v>
      </c>
      <c r="I100" s="8">
        <v>0.10100000000000001</v>
      </c>
      <c r="J100" s="10">
        <f t="shared" si="9"/>
        <v>8.4166666666666678E-3</v>
      </c>
    </row>
    <row r="101" spans="1:10" x14ac:dyDescent="0.35">
      <c r="A101" s="2">
        <v>99</v>
      </c>
      <c r="B101" s="6">
        <v>47392</v>
      </c>
      <c r="C101" s="9">
        <f t="shared" si="11"/>
        <v>-2213046.8383629904</v>
      </c>
      <c r="D101" s="9">
        <v>90000</v>
      </c>
      <c r="E101" s="9">
        <f t="shared" si="12"/>
        <v>108626.47755622184</v>
      </c>
      <c r="F101" s="9">
        <f t="shared" si="13"/>
        <v>-18626.477556221838</v>
      </c>
      <c r="G101" s="3">
        <v>0</v>
      </c>
      <c r="H101" s="3">
        <f t="shared" si="10"/>
        <v>-2321673.3159192121</v>
      </c>
      <c r="I101" s="8">
        <v>0.10100000000000001</v>
      </c>
      <c r="J101" s="10">
        <f t="shared" si="9"/>
        <v>8.4166666666666678E-3</v>
      </c>
    </row>
    <row r="102" spans="1:10" x14ac:dyDescent="0.35">
      <c r="A102" s="2">
        <v>100</v>
      </c>
      <c r="B102" s="6">
        <v>47423</v>
      </c>
      <c r="C102" s="9">
        <f t="shared" si="11"/>
        <v>-2321673.3159192121</v>
      </c>
      <c r="D102" s="9">
        <v>90000</v>
      </c>
      <c r="E102" s="9">
        <f t="shared" si="12"/>
        <v>109540.7504089867</v>
      </c>
      <c r="F102" s="9">
        <f t="shared" si="13"/>
        <v>-19540.750408986703</v>
      </c>
      <c r="G102" s="3">
        <v>0</v>
      </c>
      <c r="H102" s="3">
        <f t="shared" si="10"/>
        <v>-2431214.0663281986</v>
      </c>
      <c r="I102" s="8">
        <v>0.10100000000000001</v>
      </c>
      <c r="J102" s="10">
        <f t="shared" si="9"/>
        <v>8.4166666666666678E-3</v>
      </c>
    </row>
    <row r="103" spans="1:10" x14ac:dyDescent="0.35">
      <c r="A103" s="2">
        <v>101</v>
      </c>
      <c r="B103" s="6">
        <v>47453</v>
      </c>
      <c r="C103" s="9">
        <f t="shared" si="11"/>
        <v>-2431214.0663281986</v>
      </c>
      <c r="D103" s="9">
        <v>90000</v>
      </c>
      <c r="E103" s="9">
        <f t="shared" si="12"/>
        <v>110462.71839159567</v>
      </c>
      <c r="F103" s="9">
        <f t="shared" si="13"/>
        <v>-20462.718391595674</v>
      </c>
      <c r="G103" s="2">
        <v>0</v>
      </c>
      <c r="H103" s="3">
        <f t="shared" si="10"/>
        <v>-2541676.7847197945</v>
      </c>
      <c r="I103" s="8">
        <v>0.10100000000000001</v>
      </c>
      <c r="J103" s="10">
        <f t="shared" si="9"/>
        <v>8.4166666666666678E-3</v>
      </c>
    </row>
    <row r="104" spans="1:10" x14ac:dyDescent="0.35">
      <c r="A104" s="2">
        <v>102</v>
      </c>
      <c r="B104" s="6">
        <v>47484</v>
      </c>
      <c r="C104" s="9">
        <f t="shared" si="11"/>
        <v>-2541676.7847197945</v>
      </c>
      <c r="D104" s="9">
        <v>90000</v>
      </c>
      <c r="E104" s="9">
        <f t="shared" si="12"/>
        <v>111392.44627139161</v>
      </c>
      <c r="F104" s="9">
        <f t="shared" si="13"/>
        <v>-21392.446271391607</v>
      </c>
      <c r="G104" s="3">
        <v>0</v>
      </c>
      <c r="H104" s="3">
        <f t="shared" si="10"/>
        <v>-2653069.2309911861</v>
      </c>
      <c r="I104" s="8">
        <v>0.10100000000000001</v>
      </c>
      <c r="J104" s="10">
        <f t="shared" si="9"/>
        <v>8.4166666666666678E-3</v>
      </c>
    </row>
    <row r="105" spans="1:10" x14ac:dyDescent="0.35">
      <c r="A105" s="2">
        <v>103</v>
      </c>
      <c r="B105" s="6">
        <v>47515</v>
      </c>
      <c r="C105" s="9">
        <f t="shared" si="11"/>
        <v>-2653069.2309911861</v>
      </c>
      <c r="D105" s="9">
        <v>90000</v>
      </c>
      <c r="E105" s="9">
        <f t="shared" si="12"/>
        <v>112329.99936084248</v>
      </c>
      <c r="F105" s="9">
        <f t="shared" si="13"/>
        <v>-22329.999360842485</v>
      </c>
      <c r="G105" s="3">
        <v>0</v>
      </c>
      <c r="H105" s="3">
        <f t="shared" si="10"/>
        <v>-2765399.2303520287</v>
      </c>
      <c r="I105" s="8">
        <v>0.10100000000000001</v>
      </c>
      <c r="J105" s="10">
        <f t="shared" si="9"/>
        <v>8.4166666666666678E-3</v>
      </c>
    </row>
    <row r="106" spans="1:10" x14ac:dyDescent="0.35">
      <c r="A106" s="2">
        <v>104</v>
      </c>
      <c r="B106" s="6">
        <v>47543</v>
      </c>
      <c r="C106" s="9">
        <f t="shared" si="11"/>
        <v>-2765399.2303520287</v>
      </c>
      <c r="D106" s="9">
        <v>90000</v>
      </c>
      <c r="E106" s="9">
        <f t="shared" si="12"/>
        <v>113275.44352212959</v>
      </c>
      <c r="F106" s="9">
        <f t="shared" si="13"/>
        <v>-23275.443522129579</v>
      </c>
      <c r="G106" s="2">
        <v>0</v>
      </c>
      <c r="H106" s="3">
        <f t="shared" si="10"/>
        <v>-2878674.6738741584</v>
      </c>
      <c r="I106" s="8">
        <v>0.10100000000000001</v>
      </c>
      <c r="J106" s="10">
        <f t="shared" si="9"/>
        <v>8.4166666666666678E-3</v>
      </c>
    </row>
    <row r="107" spans="1:10" x14ac:dyDescent="0.35">
      <c r="A107" s="2">
        <v>105</v>
      </c>
      <c r="B107" s="6">
        <v>47574</v>
      </c>
      <c r="C107" s="9">
        <f t="shared" si="11"/>
        <v>-2878674.6738741584</v>
      </c>
      <c r="D107" s="9">
        <v>90000</v>
      </c>
      <c r="E107" s="9">
        <f t="shared" si="12"/>
        <v>114228.84517177417</v>
      </c>
      <c r="F107" s="9">
        <f t="shared" si="13"/>
        <v>-24228.84517177417</v>
      </c>
      <c r="G107" s="3">
        <v>0</v>
      </c>
      <c r="H107" s="3">
        <f t="shared" si="10"/>
        <v>-2992903.5190459327</v>
      </c>
      <c r="I107" s="8">
        <v>0.10100000000000001</v>
      </c>
      <c r="J107" s="10">
        <f t="shared" si="9"/>
        <v>8.4166666666666678E-3</v>
      </c>
    </row>
    <row r="108" spans="1:10" x14ac:dyDescent="0.35">
      <c r="A108" s="2">
        <v>106</v>
      </c>
      <c r="B108" s="6">
        <v>47604</v>
      </c>
      <c r="C108" s="9">
        <f t="shared" si="11"/>
        <v>-2992903.5190459327</v>
      </c>
      <c r="D108" s="9">
        <v>90000</v>
      </c>
      <c r="E108" s="9">
        <f t="shared" si="12"/>
        <v>115190.27128530327</v>
      </c>
      <c r="F108" s="9">
        <f t="shared" si="13"/>
        <v>-25190.271285303272</v>
      </c>
      <c r="G108" s="3">
        <v>0</v>
      </c>
      <c r="H108" s="3">
        <f t="shared" si="10"/>
        <v>-3108093.7903312361</v>
      </c>
      <c r="I108" s="8">
        <v>0.10100000000000001</v>
      </c>
      <c r="J108" s="10">
        <f t="shared" si="9"/>
        <v>8.4166666666666678E-3</v>
      </c>
    </row>
    <row r="109" spans="1:10" x14ac:dyDescent="0.35">
      <c r="A109" s="2">
        <v>107</v>
      </c>
      <c r="B109" s="6">
        <v>47635</v>
      </c>
      <c r="C109" s="9">
        <f t="shared" si="11"/>
        <v>-3108093.7903312361</v>
      </c>
      <c r="D109" s="9">
        <v>90000</v>
      </c>
      <c r="E109" s="9">
        <f t="shared" si="12"/>
        <v>116159.78940195458</v>
      </c>
      <c r="F109" s="9">
        <f t="shared" si="13"/>
        <v>-26159.789401954575</v>
      </c>
      <c r="G109" s="2">
        <v>0</v>
      </c>
      <c r="H109" s="3">
        <f t="shared" si="10"/>
        <v>-3224253.5797331906</v>
      </c>
      <c r="I109" s="8">
        <v>0.10100000000000001</v>
      </c>
      <c r="J109" s="10">
        <f t="shared" si="9"/>
        <v>8.4166666666666678E-3</v>
      </c>
    </row>
    <row r="110" spans="1:10" x14ac:dyDescent="0.35">
      <c r="A110" s="2">
        <v>108</v>
      </c>
      <c r="B110" s="6">
        <v>47665</v>
      </c>
      <c r="C110" s="9">
        <f t="shared" si="11"/>
        <v>-3224253.5797331906</v>
      </c>
      <c r="D110" s="9">
        <v>90000</v>
      </c>
      <c r="E110" s="9">
        <f t="shared" si="12"/>
        <v>117137.46762942102</v>
      </c>
      <c r="F110" s="9">
        <f t="shared" si="13"/>
        <v>-27137.467629421026</v>
      </c>
      <c r="G110" s="3">
        <v>0</v>
      </c>
      <c r="H110" s="3">
        <f t="shared" si="10"/>
        <v>-3341391.0473626116</v>
      </c>
      <c r="I110" s="8">
        <v>0.10100000000000001</v>
      </c>
      <c r="J110" s="10">
        <f t="shared" si="9"/>
        <v>8.4166666666666678E-3</v>
      </c>
    </row>
    <row r="111" spans="1:10" x14ac:dyDescent="0.35">
      <c r="A111" s="2">
        <v>109</v>
      </c>
      <c r="B111" s="6">
        <v>47696</v>
      </c>
      <c r="C111" s="9">
        <f t="shared" si="11"/>
        <v>-3341391.0473626116</v>
      </c>
      <c r="D111" s="9">
        <v>90000</v>
      </c>
      <c r="E111" s="9">
        <f t="shared" si="12"/>
        <v>118123.37464863532</v>
      </c>
      <c r="F111" s="9">
        <f t="shared" si="13"/>
        <v>-28123.374648635319</v>
      </c>
      <c r="G111" s="3">
        <v>0</v>
      </c>
      <c r="H111" s="3">
        <f t="shared" si="10"/>
        <v>-3459514.4220112469</v>
      </c>
      <c r="I111" s="8">
        <v>0.10100000000000001</v>
      </c>
      <c r="J111" s="10">
        <f t="shared" si="9"/>
        <v>8.4166666666666678E-3</v>
      </c>
    </row>
    <row r="112" spans="1:10" x14ac:dyDescent="0.35">
      <c r="A112" s="2">
        <v>110</v>
      </c>
      <c r="B112" s="6">
        <v>47727</v>
      </c>
      <c r="C112" s="9">
        <f t="shared" si="11"/>
        <v>-3459514.4220112469</v>
      </c>
      <c r="D112" s="9">
        <v>90000</v>
      </c>
      <c r="E112" s="9">
        <f t="shared" si="12"/>
        <v>119117.57971859467</v>
      </c>
      <c r="F112" s="9">
        <f t="shared" si="13"/>
        <v>-29117.579718594665</v>
      </c>
      <c r="G112" s="2">
        <v>0</v>
      </c>
      <c r="H112" s="3">
        <f t="shared" si="10"/>
        <v>-3578632.0017298413</v>
      </c>
      <c r="I112" s="8">
        <v>0.10100000000000001</v>
      </c>
      <c r="J112" s="10">
        <f t="shared" si="9"/>
        <v>8.4166666666666678E-3</v>
      </c>
    </row>
    <row r="113" spans="1:10" x14ac:dyDescent="0.35">
      <c r="A113" s="2">
        <v>111</v>
      </c>
      <c r="B113" s="6">
        <v>47757</v>
      </c>
      <c r="C113" s="9">
        <f t="shared" si="11"/>
        <v>-3578632.0017298413</v>
      </c>
      <c r="D113" s="9">
        <v>90000</v>
      </c>
      <c r="E113" s="9">
        <f t="shared" si="12"/>
        <v>120120.15268122617</v>
      </c>
      <c r="F113" s="9">
        <f t="shared" si="13"/>
        <v>-30120.152681226169</v>
      </c>
      <c r="G113" s="3">
        <v>0</v>
      </c>
      <c r="H113" s="3">
        <f t="shared" si="10"/>
        <v>-3698752.1544110677</v>
      </c>
      <c r="I113" s="8">
        <v>0.10100000000000001</v>
      </c>
      <c r="J113" s="10">
        <f t="shared" si="9"/>
        <v>8.4166666666666678E-3</v>
      </c>
    </row>
    <row r="114" spans="1:10" x14ac:dyDescent="0.35">
      <c r="A114" s="2">
        <v>112</v>
      </c>
      <c r="B114" s="6">
        <v>47788</v>
      </c>
      <c r="C114" s="9">
        <f t="shared" si="11"/>
        <v>-3698752.1544110677</v>
      </c>
      <c r="D114" s="9">
        <v>90000</v>
      </c>
      <c r="E114" s="9">
        <f t="shared" si="12"/>
        <v>121131.16396629316</v>
      </c>
      <c r="F114" s="9">
        <f t="shared" si="13"/>
        <v>-31131.163966293156</v>
      </c>
      <c r="G114" s="3">
        <v>0</v>
      </c>
      <c r="H114" s="3">
        <f t="shared" si="10"/>
        <v>-3819883.3183773607</v>
      </c>
      <c r="I114" s="8">
        <v>0.10100000000000001</v>
      </c>
      <c r="J114" s="10">
        <f t="shared" si="9"/>
        <v>8.4166666666666678E-3</v>
      </c>
    </row>
    <row r="115" spans="1:10" x14ac:dyDescent="0.35">
      <c r="A115" s="2">
        <v>113</v>
      </c>
      <c r="B115" s="6">
        <v>47818</v>
      </c>
      <c r="C115" s="9">
        <f t="shared" si="11"/>
        <v>-3819883.3183773607</v>
      </c>
      <c r="D115" s="9">
        <v>90000</v>
      </c>
      <c r="E115" s="9">
        <f t="shared" si="12"/>
        <v>122150.68459634279</v>
      </c>
      <c r="F115" s="9">
        <f t="shared" si="13"/>
        <v>-32150.684596342791</v>
      </c>
      <c r="G115" s="2">
        <v>0</v>
      </c>
      <c r="H115" s="3">
        <f t="shared" si="10"/>
        <v>-3942034.0029737037</v>
      </c>
      <c r="I115" s="8">
        <v>0.10100000000000001</v>
      </c>
      <c r="J115" s="10">
        <f t="shared" si="9"/>
        <v>8.4166666666666678E-3</v>
      </c>
    </row>
    <row r="116" spans="1:10" x14ac:dyDescent="0.35">
      <c r="A116" s="2">
        <v>114</v>
      </c>
      <c r="B116" s="6">
        <v>47849</v>
      </c>
      <c r="C116" s="9">
        <f t="shared" si="11"/>
        <v>-3942034.0029737037</v>
      </c>
      <c r="D116" s="9">
        <v>90000</v>
      </c>
      <c r="E116" s="9">
        <f t="shared" si="12"/>
        <v>123178.78619169534</v>
      </c>
      <c r="F116" s="9">
        <f t="shared" si="13"/>
        <v>-33178.786191695341</v>
      </c>
      <c r="G116" s="3">
        <v>0</v>
      </c>
      <c r="H116" s="3">
        <f t="shared" si="10"/>
        <v>-4065212.789165399</v>
      </c>
      <c r="I116" s="8">
        <v>0.10100000000000001</v>
      </c>
      <c r="J116" s="10">
        <f t="shared" si="9"/>
        <v>8.4166666666666678E-3</v>
      </c>
    </row>
    <row r="117" spans="1:10" x14ac:dyDescent="0.35">
      <c r="A117" s="2">
        <v>115</v>
      </c>
      <c r="B117" s="6">
        <v>47880</v>
      </c>
      <c r="C117" s="9">
        <f t="shared" si="11"/>
        <v>-4065212.789165399</v>
      </c>
      <c r="D117" s="9">
        <v>90000</v>
      </c>
      <c r="E117" s="9">
        <f t="shared" si="12"/>
        <v>124215.54097547545</v>
      </c>
      <c r="F117" s="9">
        <f t="shared" si="13"/>
        <v>-34215.540975475444</v>
      </c>
      <c r="G117" s="3">
        <v>0</v>
      </c>
      <c r="H117" s="3">
        <f t="shared" si="10"/>
        <v>-4189428.3301408747</v>
      </c>
      <c r="I117" s="8">
        <v>0.10100000000000001</v>
      </c>
      <c r="J117" s="10">
        <f t="shared" si="9"/>
        <v>8.4166666666666678E-3</v>
      </c>
    </row>
    <row r="118" spans="1:10" x14ac:dyDescent="0.35">
      <c r="A118" s="2">
        <v>116</v>
      </c>
      <c r="B118" s="6">
        <v>47908</v>
      </c>
      <c r="C118" s="9">
        <f t="shared" si="11"/>
        <v>-4189428.3301408747</v>
      </c>
      <c r="D118" s="9">
        <v>90000</v>
      </c>
      <c r="E118" s="9">
        <f t="shared" si="12"/>
        <v>125261.02177868571</v>
      </c>
      <c r="F118" s="9">
        <f t="shared" si="13"/>
        <v>-35261.021778685703</v>
      </c>
      <c r="G118" s="2">
        <v>0</v>
      </c>
      <c r="H118" s="3">
        <f t="shared" si="10"/>
        <v>-4314689.3519195607</v>
      </c>
      <c r="I118" s="8">
        <v>0.10100000000000001</v>
      </c>
      <c r="J118" s="10">
        <f t="shared" si="9"/>
        <v>8.4166666666666678E-3</v>
      </c>
    </row>
    <row r="119" spans="1:10" x14ac:dyDescent="0.35">
      <c r="A119" s="2">
        <v>117</v>
      </c>
      <c r="B119" s="6">
        <v>47939</v>
      </c>
      <c r="C119" s="9">
        <f t="shared" si="11"/>
        <v>-4314689.3519195607</v>
      </c>
      <c r="D119" s="9">
        <v>90000</v>
      </c>
      <c r="E119" s="9">
        <f t="shared" si="12"/>
        <v>126315.30204532298</v>
      </c>
      <c r="F119" s="9">
        <f t="shared" si="13"/>
        <v>-36315.302045322976</v>
      </c>
      <c r="G119" s="3">
        <v>0</v>
      </c>
      <c r="H119" s="3">
        <f t="shared" si="10"/>
        <v>-4441004.6539648836</v>
      </c>
      <c r="I119" s="8">
        <v>0.10100000000000001</v>
      </c>
      <c r="J119" s="10">
        <f t="shared" si="9"/>
        <v>8.4166666666666678E-3</v>
      </c>
    </row>
    <row r="120" spans="1:10" x14ac:dyDescent="0.35">
      <c r="A120" s="2">
        <v>118</v>
      </c>
      <c r="B120" s="6">
        <v>47969</v>
      </c>
      <c r="C120" s="9">
        <f t="shared" si="11"/>
        <v>-4441004.6539648836</v>
      </c>
      <c r="D120" s="9">
        <v>90000</v>
      </c>
      <c r="E120" s="9">
        <f t="shared" si="12"/>
        <v>127378.45583753777</v>
      </c>
      <c r="F120" s="9">
        <f t="shared" si="13"/>
        <v>-37378.455837537775</v>
      </c>
      <c r="G120" s="3">
        <v>0</v>
      </c>
      <c r="H120" s="3">
        <f t="shared" si="10"/>
        <v>-4568383.1098024212</v>
      </c>
      <c r="I120" s="8">
        <v>0.10100000000000001</v>
      </c>
      <c r="J120" s="10">
        <f t="shared" si="9"/>
        <v>8.4166666666666678E-3</v>
      </c>
    </row>
    <row r="121" spans="1:10" x14ac:dyDescent="0.35">
      <c r="A121" s="2">
        <v>119</v>
      </c>
      <c r="B121" s="6">
        <v>48000</v>
      </c>
      <c r="C121" s="9">
        <f t="shared" si="11"/>
        <v>-4568383.1098024212</v>
      </c>
      <c r="D121" s="9">
        <v>90000</v>
      </c>
      <c r="E121" s="9">
        <f t="shared" si="12"/>
        <v>128450.55784083705</v>
      </c>
      <c r="F121" s="9">
        <f t="shared" si="13"/>
        <v>-38450.557840837049</v>
      </c>
      <c r="G121" s="2">
        <v>0</v>
      </c>
      <c r="H121" s="3">
        <f t="shared" si="10"/>
        <v>-4696833.6676432583</v>
      </c>
      <c r="I121" s="8">
        <v>0.10100000000000001</v>
      </c>
      <c r="J121" s="10">
        <f t="shared" si="9"/>
        <v>8.4166666666666678E-3</v>
      </c>
    </row>
    <row r="122" spans="1:10" x14ac:dyDescent="0.35">
      <c r="A122" s="2">
        <v>120</v>
      </c>
      <c r="B122" s="6">
        <v>48030</v>
      </c>
      <c r="C122" s="9">
        <f t="shared" si="11"/>
        <v>-4696833.6676432583</v>
      </c>
      <c r="D122" s="9">
        <v>90000</v>
      </c>
      <c r="E122" s="9">
        <f t="shared" si="12"/>
        <v>129531.68336933077</v>
      </c>
      <c r="F122" s="9">
        <f t="shared" si="13"/>
        <v>-39531.683369330764</v>
      </c>
      <c r="G122" s="3">
        <v>0</v>
      </c>
      <c r="H122" s="3">
        <f t="shared" si="10"/>
        <v>-4826365.3510125894</v>
      </c>
      <c r="I122" s="8">
        <v>0.10100000000000001</v>
      </c>
      <c r="J122" s="10">
        <f t="shared" si="9"/>
        <v>8.4166666666666678E-3</v>
      </c>
    </row>
    <row r="123" spans="1:10" x14ac:dyDescent="0.35">
      <c r="A123" s="2">
        <v>121</v>
      </c>
      <c r="B123" s="6">
        <v>48061</v>
      </c>
      <c r="C123" s="9">
        <f t="shared" si="11"/>
        <v>-4826365.3510125894</v>
      </c>
      <c r="D123" s="9">
        <v>90000</v>
      </c>
      <c r="E123" s="9">
        <f t="shared" si="12"/>
        <v>130621.90837102264</v>
      </c>
      <c r="F123" s="9">
        <f t="shared" si="13"/>
        <v>-40621.908371022633</v>
      </c>
      <c r="G123" s="3">
        <v>0</v>
      </c>
      <c r="H123" s="3">
        <f t="shared" si="10"/>
        <v>-4956987.2593836123</v>
      </c>
      <c r="I123" s="8">
        <v>0.10100000000000001</v>
      </c>
      <c r="J123" s="10">
        <f t="shared" si="9"/>
        <v>8.4166666666666678E-3</v>
      </c>
    </row>
    <row r="124" spans="1:10" x14ac:dyDescent="0.35">
      <c r="A124" s="2">
        <v>122</v>
      </c>
      <c r="B124" s="6">
        <v>48092</v>
      </c>
      <c r="C124" s="9">
        <f t="shared" si="11"/>
        <v>-4956987.2593836123</v>
      </c>
      <c r="D124" s="9">
        <v>90000</v>
      </c>
      <c r="E124" s="9">
        <f t="shared" si="12"/>
        <v>131721.30943314542</v>
      </c>
      <c r="F124" s="9">
        <f t="shared" si="13"/>
        <v>-41721.309433145412</v>
      </c>
      <c r="G124" s="2">
        <v>0</v>
      </c>
      <c r="H124" s="3">
        <f t="shared" si="10"/>
        <v>-5088708.5688167578</v>
      </c>
      <c r="I124" s="8">
        <v>0.10100000000000001</v>
      </c>
      <c r="J124" s="10">
        <f t="shared" si="9"/>
        <v>8.4166666666666678E-3</v>
      </c>
    </row>
    <row r="125" spans="1:10" x14ac:dyDescent="0.35">
      <c r="A125" s="2">
        <v>123</v>
      </c>
      <c r="B125" s="6">
        <v>48122</v>
      </c>
      <c r="C125" s="9">
        <f t="shared" si="11"/>
        <v>-5088708.5688167578</v>
      </c>
      <c r="D125" s="9">
        <v>90000</v>
      </c>
      <c r="E125" s="9">
        <f t="shared" si="12"/>
        <v>132829.96378754106</v>
      </c>
      <c r="F125" s="9">
        <f t="shared" si="13"/>
        <v>-42829.963787541048</v>
      </c>
      <c r="G125" s="3">
        <v>0</v>
      </c>
      <c r="H125" s="3">
        <f t="shared" si="10"/>
        <v>-5221538.5326042986</v>
      </c>
      <c r="I125" s="8">
        <v>0.10100000000000001</v>
      </c>
      <c r="J125" s="10">
        <f t="shared" si="9"/>
        <v>8.4166666666666678E-3</v>
      </c>
    </row>
    <row r="126" spans="1:10" x14ac:dyDescent="0.35">
      <c r="A126" s="2">
        <v>124</v>
      </c>
      <c r="B126" s="6">
        <v>48153</v>
      </c>
      <c r="C126" s="9">
        <f t="shared" si="11"/>
        <v>-5221538.5326042986</v>
      </c>
      <c r="D126" s="9">
        <v>90000</v>
      </c>
      <c r="E126" s="9">
        <f t="shared" si="12"/>
        <v>133947.94931608619</v>
      </c>
      <c r="F126" s="9">
        <f t="shared" si="13"/>
        <v>-43947.949316086182</v>
      </c>
      <c r="G126" s="3">
        <v>0</v>
      </c>
      <c r="H126" s="3">
        <f t="shared" si="10"/>
        <v>-5355486.4819203848</v>
      </c>
      <c r="I126" s="8">
        <v>0.10100000000000001</v>
      </c>
      <c r="J126" s="10">
        <f t="shared" si="9"/>
        <v>8.4166666666666678E-3</v>
      </c>
    </row>
    <row r="127" spans="1:10" x14ac:dyDescent="0.35">
      <c r="A127" s="2">
        <v>125</v>
      </c>
      <c r="B127" s="6">
        <v>48183</v>
      </c>
      <c r="C127" s="9">
        <f t="shared" si="11"/>
        <v>-5355486.4819203848</v>
      </c>
      <c r="D127" s="9">
        <v>90000</v>
      </c>
      <c r="E127" s="9">
        <f t="shared" si="12"/>
        <v>135075.34455616324</v>
      </c>
      <c r="F127" s="9">
        <f t="shared" si="13"/>
        <v>-45075.344556163247</v>
      </c>
      <c r="G127" s="2">
        <v>0</v>
      </c>
      <c r="H127" s="3">
        <f t="shared" si="10"/>
        <v>-5490561.8264765479</v>
      </c>
      <c r="I127" s="8">
        <v>0.10100000000000001</v>
      </c>
      <c r="J127" s="10">
        <f t="shared" si="9"/>
        <v>8.4166666666666678E-3</v>
      </c>
    </row>
    <row r="128" spans="1:10" x14ac:dyDescent="0.35">
      <c r="A128" s="2">
        <v>126</v>
      </c>
      <c r="B128" s="6">
        <v>48214</v>
      </c>
      <c r="C128" s="9">
        <f t="shared" si="11"/>
        <v>-5490561.8264765479</v>
      </c>
      <c r="D128" s="9">
        <v>90000</v>
      </c>
      <c r="E128" s="9">
        <f t="shared" si="12"/>
        <v>136212.22870617762</v>
      </c>
      <c r="F128" s="9">
        <f t="shared" si="13"/>
        <v>-46212.228706177615</v>
      </c>
      <c r="G128" s="3">
        <v>0</v>
      </c>
      <c r="H128" s="3">
        <f t="shared" si="10"/>
        <v>-5626774.0551827252</v>
      </c>
      <c r="I128" s="8">
        <v>0.10100000000000001</v>
      </c>
      <c r="J128" s="10">
        <f t="shared" si="9"/>
        <v>8.4166666666666678E-3</v>
      </c>
    </row>
    <row r="129" spans="1:10" x14ac:dyDescent="0.35">
      <c r="A129" s="2">
        <v>127</v>
      </c>
      <c r="B129" s="6">
        <v>48245</v>
      </c>
      <c r="C129" s="9">
        <f t="shared" si="11"/>
        <v>-5626774.0551827252</v>
      </c>
      <c r="D129" s="9">
        <v>90000</v>
      </c>
      <c r="E129" s="9">
        <f t="shared" si="12"/>
        <v>137358.68163112126</v>
      </c>
      <c r="F129" s="9">
        <f t="shared" si="13"/>
        <v>-47358.681631121275</v>
      </c>
      <c r="G129" s="3">
        <v>0</v>
      </c>
      <c r="H129" s="3">
        <f t="shared" si="10"/>
        <v>-5764132.736813846</v>
      </c>
      <c r="I129" s="8">
        <v>0.10100000000000001</v>
      </c>
      <c r="J129" s="10">
        <f t="shared" si="9"/>
        <v>8.4166666666666678E-3</v>
      </c>
    </row>
    <row r="130" spans="1:10" x14ac:dyDescent="0.35">
      <c r="A130" s="2">
        <v>128</v>
      </c>
      <c r="B130" s="6">
        <v>48274</v>
      </c>
      <c r="C130" s="9">
        <f t="shared" si="11"/>
        <v>-5764132.736813846</v>
      </c>
      <c r="D130" s="9">
        <v>90000</v>
      </c>
      <c r="E130" s="9">
        <f t="shared" si="12"/>
        <v>138514.78386818321</v>
      </c>
      <c r="F130" s="9">
        <f t="shared" si="13"/>
        <v>-48514.783868183207</v>
      </c>
      <c r="G130" s="2">
        <v>0</v>
      </c>
      <c r="H130" s="3">
        <f t="shared" si="10"/>
        <v>-5902647.5206820294</v>
      </c>
      <c r="I130" s="8">
        <v>0.10100000000000001</v>
      </c>
      <c r="J130" s="10">
        <f t="shared" si="9"/>
        <v>8.4166666666666678E-3</v>
      </c>
    </row>
    <row r="131" spans="1:10" x14ac:dyDescent="0.35">
      <c r="A131" s="2">
        <v>129</v>
      </c>
      <c r="B131" s="6">
        <v>48305</v>
      </c>
      <c r="C131" s="9">
        <f t="shared" si="11"/>
        <v>-5902647.5206820294</v>
      </c>
      <c r="D131" s="9">
        <v>90000</v>
      </c>
      <c r="E131" s="9">
        <f t="shared" si="12"/>
        <v>139680.61663240709</v>
      </c>
      <c r="F131" s="9">
        <f t="shared" si="13"/>
        <v>-49680.616632407087</v>
      </c>
      <c r="G131" s="3">
        <v>0</v>
      </c>
      <c r="H131" s="3">
        <f t="shared" si="10"/>
        <v>-6042328.137314437</v>
      </c>
      <c r="I131" s="8">
        <v>0.10100000000000001</v>
      </c>
      <c r="J131" s="10">
        <f t="shared" ref="J131:J194" si="14">I131/12</f>
        <v>8.4166666666666678E-3</v>
      </c>
    </row>
    <row r="132" spans="1:10" x14ac:dyDescent="0.35">
      <c r="A132" s="2">
        <v>130</v>
      </c>
      <c r="B132" s="6">
        <v>48335</v>
      </c>
      <c r="C132" s="9">
        <f t="shared" si="11"/>
        <v>-6042328.137314437</v>
      </c>
      <c r="D132" s="9">
        <v>90000</v>
      </c>
      <c r="E132" s="9">
        <f t="shared" si="12"/>
        <v>140856.26182239651</v>
      </c>
      <c r="F132" s="9">
        <f t="shared" si="13"/>
        <v>-50856.261822396518</v>
      </c>
      <c r="G132" s="3">
        <v>0</v>
      </c>
      <c r="H132" s="3">
        <f t="shared" ref="H132:H195" si="15">C132-E132-G132</f>
        <v>-6183184.3991368338</v>
      </c>
      <c r="I132" s="8">
        <v>0.10100000000000001</v>
      </c>
      <c r="J132" s="10">
        <f t="shared" si="14"/>
        <v>8.4166666666666678E-3</v>
      </c>
    </row>
    <row r="133" spans="1:10" x14ac:dyDescent="0.35">
      <c r="A133" s="2">
        <v>131</v>
      </c>
      <c r="B133" s="6">
        <v>48366</v>
      </c>
      <c r="C133" s="9">
        <f t="shared" ref="C133:C196" si="16">H132</f>
        <v>-6183184.3991368338</v>
      </c>
      <c r="D133" s="9">
        <v>90000</v>
      </c>
      <c r="E133" s="9">
        <f t="shared" ref="E133:E196" si="17">D133-F133</f>
        <v>142041.80202606836</v>
      </c>
      <c r="F133" s="9">
        <f t="shared" ref="F133:F196" si="18">C133*J133</f>
        <v>-52041.802026068355</v>
      </c>
      <c r="G133" s="2">
        <v>0</v>
      </c>
      <c r="H133" s="3">
        <f t="shared" si="15"/>
        <v>-6325226.2011629026</v>
      </c>
      <c r="I133" s="8">
        <v>0.10100000000000001</v>
      </c>
      <c r="J133" s="10">
        <f t="shared" si="14"/>
        <v>8.4166666666666678E-3</v>
      </c>
    </row>
    <row r="134" spans="1:10" x14ac:dyDescent="0.35">
      <c r="A134" s="2">
        <v>132</v>
      </c>
      <c r="B134" s="6">
        <v>48396</v>
      </c>
      <c r="C134" s="9">
        <f t="shared" si="16"/>
        <v>-6325226.2011629026</v>
      </c>
      <c r="D134" s="9">
        <v>90000</v>
      </c>
      <c r="E134" s="9">
        <f t="shared" si="17"/>
        <v>143237.32052645442</v>
      </c>
      <c r="F134" s="9">
        <f t="shared" si="18"/>
        <v>-53237.320526454438</v>
      </c>
      <c r="G134" s="3">
        <v>0</v>
      </c>
      <c r="H134" s="3">
        <f t="shared" si="15"/>
        <v>-6468463.5216893572</v>
      </c>
      <c r="I134" s="8">
        <v>0.10100000000000001</v>
      </c>
      <c r="J134" s="10">
        <f t="shared" si="14"/>
        <v>8.4166666666666678E-3</v>
      </c>
    </row>
    <row r="135" spans="1:10" x14ac:dyDescent="0.35">
      <c r="A135" s="2">
        <v>133</v>
      </c>
      <c r="B135" s="6">
        <v>48427</v>
      </c>
      <c r="C135" s="9">
        <f t="shared" si="16"/>
        <v>-6468463.5216893572</v>
      </c>
      <c r="D135" s="9">
        <v>90000</v>
      </c>
      <c r="E135" s="9">
        <f t="shared" si="17"/>
        <v>144442.90130755209</v>
      </c>
      <c r="F135" s="9">
        <f t="shared" si="18"/>
        <v>-54442.9013075521</v>
      </c>
      <c r="G135" s="3">
        <v>0</v>
      </c>
      <c r="H135" s="3">
        <f t="shared" si="15"/>
        <v>-6612906.4229969094</v>
      </c>
      <c r="I135" s="8">
        <v>0.10100000000000001</v>
      </c>
      <c r="J135" s="10">
        <f t="shared" si="14"/>
        <v>8.4166666666666678E-3</v>
      </c>
    </row>
    <row r="136" spans="1:10" x14ac:dyDescent="0.35">
      <c r="A136" s="2">
        <v>134</v>
      </c>
      <c r="B136" s="6">
        <v>48458</v>
      </c>
      <c r="C136" s="9">
        <f t="shared" si="16"/>
        <v>-6612906.4229969094</v>
      </c>
      <c r="D136" s="9">
        <v>90000</v>
      </c>
      <c r="E136" s="9">
        <f t="shared" si="17"/>
        <v>145658.62906022399</v>
      </c>
      <c r="F136" s="9">
        <f t="shared" si="18"/>
        <v>-55658.629060223997</v>
      </c>
      <c r="G136" s="2">
        <v>0</v>
      </c>
      <c r="H136" s="3">
        <f t="shared" si="15"/>
        <v>-6758565.0520571331</v>
      </c>
      <c r="I136" s="8">
        <v>0.10100000000000001</v>
      </c>
      <c r="J136" s="10">
        <f t="shared" si="14"/>
        <v>8.4166666666666678E-3</v>
      </c>
    </row>
    <row r="137" spans="1:10" x14ac:dyDescent="0.35">
      <c r="A137" s="2">
        <v>135</v>
      </c>
      <c r="B137" s="6">
        <v>48488</v>
      </c>
      <c r="C137" s="9">
        <f t="shared" si="16"/>
        <v>-6758565.0520571331</v>
      </c>
      <c r="D137" s="9">
        <v>90000</v>
      </c>
      <c r="E137" s="9">
        <f t="shared" si="17"/>
        <v>146884.58918814754</v>
      </c>
      <c r="F137" s="9">
        <f t="shared" si="18"/>
        <v>-56884.589188147547</v>
      </c>
      <c r="G137" s="3">
        <v>0</v>
      </c>
      <c r="H137" s="3">
        <f t="shared" si="15"/>
        <v>-6905449.6412452804</v>
      </c>
      <c r="I137" s="8">
        <v>0.10100000000000001</v>
      </c>
      <c r="J137" s="10">
        <f t="shared" si="14"/>
        <v>8.4166666666666678E-3</v>
      </c>
    </row>
    <row r="138" spans="1:10" x14ac:dyDescent="0.35">
      <c r="A138" s="2">
        <v>136</v>
      </c>
      <c r="B138" s="6">
        <v>48519</v>
      </c>
      <c r="C138" s="9">
        <f t="shared" si="16"/>
        <v>-6905449.6412452804</v>
      </c>
      <c r="D138" s="9">
        <v>90000</v>
      </c>
      <c r="E138" s="9">
        <f t="shared" si="17"/>
        <v>148120.86781381446</v>
      </c>
      <c r="F138" s="9">
        <f t="shared" si="18"/>
        <v>-58120.867813814453</v>
      </c>
      <c r="G138" s="3">
        <v>0</v>
      </c>
      <c r="H138" s="3">
        <f t="shared" si="15"/>
        <v>-7053570.5090590948</v>
      </c>
      <c r="I138" s="8">
        <v>0.10100000000000001</v>
      </c>
      <c r="J138" s="10">
        <f t="shared" si="14"/>
        <v>8.4166666666666678E-3</v>
      </c>
    </row>
    <row r="139" spans="1:10" x14ac:dyDescent="0.35">
      <c r="A139" s="2">
        <v>137</v>
      </c>
      <c r="B139" s="6">
        <v>48549</v>
      </c>
      <c r="C139" s="9">
        <f t="shared" si="16"/>
        <v>-7053570.5090590948</v>
      </c>
      <c r="D139" s="9">
        <v>90000</v>
      </c>
      <c r="E139" s="9">
        <f t="shared" si="17"/>
        <v>149367.55178458072</v>
      </c>
      <c r="F139" s="9">
        <f t="shared" si="18"/>
        <v>-59367.551784580726</v>
      </c>
      <c r="G139" s="2">
        <v>0</v>
      </c>
      <c r="H139" s="3">
        <f t="shared" si="15"/>
        <v>-7202938.0608436754</v>
      </c>
      <c r="I139" s="8">
        <v>0.10100000000000001</v>
      </c>
      <c r="J139" s="10">
        <f t="shared" si="14"/>
        <v>8.4166666666666678E-3</v>
      </c>
    </row>
    <row r="140" spans="1:10" x14ac:dyDescent="0.35">
      <c r="A140" s="2">
        <v>138</v>
      </c>
      <c r="B140" s="6">
        <v>48580</v>
      </c>
      <c r="C140" s="9">
        <f t="shared" si="16"/>
        <v>-7202938.0608436754</v>
      </c>
      <c r="D140" s="9">
        <v>90000</v>
      </c>
      <c r="E140" s="9">
        <f t="shared" si="17"/>
        <v>150624.7286787676</v>
      </c>
      <c r="F140" s="9">
        <f t="shared" si="18"/>
        <v>-60624.728678767606</v>
      </c>
      <c r="G140" s="3">
        <v>0</v>
      </c>
      <c r="H140" s="3">
        <f t="shared" si="15"/>
        <v>-7353562.789522443</v>
      </c>
      <c r="I140" s="8">
        <v>0.10100000000000001</v>
      </c>
      <c r="J140" s="10">
        <f t="shared" si="14"/>
        <v>8.4166666666666678E-3</v>
      </c>
    </row>
    <row r="141" spans="1:10" x14ac:dyDescent="0.35">
      <c r="A141" s="2">
        <v>139</v>
      </c>
      <c r="B141" s="6">
        <v>48611</v>
      </c>
      <c r="C141" s="9">
        <f t="shared" si="16"/>
        <v>-7353562.789522443</v>
      </c>
      <c r="D141" s="9">
        <v>90000</v>
      </c>
      <c r="E141" s="9">
        <f t="shared" si="17"/>
        <v>151892.4868118139</v>
      </c>
      <c r="F141" s="9">
        <f t="shared" si="18"/>
        <v>-61892.486811813906</v>
      </c>
      <c r="G141" s="3">
        <v>0</v>
      </c>
      <c r="H141" s="3">
        <f t="shared" si="15"/>
        <v>-7505455.2763342569</v>
      </c>
      <c r="I141" s="8">
        <v>0.10100000000000001</v>
      </c>
      <c r="J141" s="10">
        <f t="shared" si="14"/>
        <v>8.4166666666666678E-3</v>
      </c>
    </row>
    <row r="142" spans="1:10" x14ac:dyDescent="0.35">
      <c r="A142" s="2">
        <v>140</v>
      </c>
      <c r="B142" s="6">
        <v>48639</v>
      </c>
      <c r="C142" s="9">
        <f t="shared" si="16"/>
        <v>-7505455.2763342569</v>
      </c>
      <c r="D142" s="9">
        <v>90000</v>
      </c>
      <c r="E142" s="9">
        <f t="shared" si="17"/>
        <v>153170.91524248</v>
      </c>
      <c r="F142" s="9">
        <f t="shared" si="18"/>
        <v>-63170.915242480005</v>
      </c>
      <c r="G142" s="2">
        <v>0</v>
      </c>
      <c r="H142" s="3">
        <f t="shared" si="15"/>
        <v>-7658626.191576737</v>
      </c>
      <c r="I142" s="8">
        <v>0.10100000000000001</v>
      </c>
      <c r="J142" s="10">
        <f t="shared" si="14"/>
        <v>8.4166666666666678E-3</v>
      </c>
    </row>
    <row r="143" spans="1:10" x14ac:dyDescent="0.35">
      <c r="A143" s="2">
        <v>141</v>
      </c>
      <c r="B143" s="6">
        <v>48670</v>
      </c>
      <c r="C143" s="9">
        <f t="shared" si="16"/>
        <v>-7658626.191576737</v>
      </c>
      <c r="D143" s="9">
        <v>90000</v>
      </c>
      <c r="E143" s="9">
        <f t="shared" si="17"/>
        <v>154460.10377910422</v>
      </c>
      <c r="F143" s="9">
        <f t="shared" si="18"/>
        <v>-64460.103779104211</v>
      </c>
      <c r="G143" s="3">
        <v>0</v>
      </c>
      <c r="H143" s="3">
        <f t="shared" si="15"/>
        <v>-7813086.2953558415</v>
      </c>
      <c r="I143" s="8">
        <v>0.10100000000000001</v>
      </c>
      <c r="J143" s="10">
        <f t="shared" si="14"/>
        <v>8.4166666666666678E-3</v>
      </c>
    </row>
    <row r="144" spans="1:10" x14ac:dyDescent="0.35">
      <c r="A144" s="2">
        <v>142</v>
      </c>
      <c r="B144" s="6">
        <v>48700</v>
      </c>
      <c r="C144" s="9">
        <f t="shared" si="16"/>
        <v>-7813086.2953558415</v>
      </c>
      <c r="D144" s="9">
        <v>90000</v>
      </c>
      <c r="E144" s="9">
        <f t="shared" si="17"/>
        <v>155760.14298591169</v>
      </c>
      <c r="F144" s="9">
        <f t="shared" si="18"/>
        <v>-65760.142985911676</v>
      </c>
      <c r="G144" s="3">
        <v>0</v>
      </c>
      <c r="H144" s="3">
        <f t="shared" si="15"/>
        <v>-7968846.4383417536</v>
      </c>
      <c r="I144" s="8">
        <v>0.10100000000000001</v>
      </c>
      <c r="J144" s="10">
        <f t="shared" si="14"/>
        <v>8.4166666666666678E-3</v>
      </c>
    </row>
    <row r="145" spans="1:10" x14ac:dyDescent="0.35">
      <c r="A145" s="2">
        <v>143</v>
      </c>
      <c r="B145" s="6">
        <v>48731</v>
      </c>
      <c r="C145" s="9">
        <f t="shared" si="16"/>
        <v>-7968846.4383417536</v>
      </c>
      <c r="D145" s="9">
        <v>90000</v>
      </c>
      <c r="E145" s="9">
        <f t="shared" si="17"/>
        <v>157071.12418937642</v>
      </c>
      <c r="F145" s="9">
        <f t="shared" si="18"/>
        <v>-67071.124189376438</v>
      </c>
      <c r="G145" s="2">
        <v>0</v>
      </c>
      <c r="H145" s="3">
        <f t="shared" si="15"/>
        <v>-8125917.5625311304</v>
      </c>
      <c r="I145" s="8">
        <v>0.10100000000000001</v>
      </c>
      <c r="J145" s="10">
        <f t="shared" si="14"/>
        <v>8.4166666666666678E-3</v>
      </c>
    </row>
    <row r="146" spans="1:10" x14ac:dyDescent="0.35">
      <c r="A146" s="2">
        <v>144</v>
      </c>
      <c r="B146" s="6">
        <v>48761</v>
      </c>
      <c r="C146" s="9">
        <f t="shared" si="16"/>
        <v>-8125917.5625311304</v>
      </c>
      <c r="D146" s="9">
        <v>90000</v>
      </c>
      <c r="E146" s="9">
        <f t="shared" si="17"/>
        <v>158393.13948463701</v>
      </c>
      <c r="F146" s="9">
        <f t="shared" si="18"/>
        <v>-68393.139484637024</v>
      </c>
      <c r="G146" s="3">
        <v>0</v>
      </c>
      <c r="H146" s="3">
        <f t="shared" si="15"/>
        <v>-8284310.7020157678</v>
      </c>
      <c r="I146" s="8">
        <v>0.10100000000000001</v>
      </c>
      <c r="J146" s="10">
        <f t="shared" si="14"/>
        <v>8.4166666666666678E-3</v>
      </c>
    </row>
    <row r="147" spans="1:10" x14ac:dyDescent="0.35">
      <c r="A147" s="2">
        <v>145</v>
      </c>
      <c r="B147" s="6">
        <v>48792</v>
      </c>
      <c r="C147" s="9">
        <f t="shared" si="16"/>
        <v>-8284310.7020157678</v>
      </c>
      <c r="D147" s="9">
        <v>90000</v>
      </c>
      <c r="E147" s="9">
        <f t="shared" si="17"/>
        <v>159726.28174196606</v>
      </c>
      <c r="F147" s="9">
        <f t="shared" si="18"/>
        <v>-69726.281741966057</v>
      </c>
      <c r="G147" s="3">
        <v>0</v>
      </c>
      <c r="H147" s="3">
        <f t="shared" si="15"/>
        <v>-8444036.9837577343</v>
      </c>
      <c r="I147" s="8">
        <v>0.10100000000000001</v>
      </c>
      <c r="J147" s="10">
        <f t="shared" si="14"/>
        <v>8.4166666666666678E-3</v>
      </c>
    </row>
    <row r="148" spans="1:10" x14ac:dyDescent="0.35">
      <c r="A148" s="2">
        <v>146</v>
      </c>
      <c r="B148" s="6">
        <v>48823</v>
      </c>
      <c r="C148" s="9">
        <f t="shared" si="16"/>
        <v>-8444036.9837577343</v>
      </c>
      <c r="D148" s="9">
        <v>90000</v>
      </c>
      <c r="E148" s="9">
        <f t="shared" si="17"/>
        <v>161070.64461329428</v>
      </c>
      <c r="F148" s="9">
        <f t="shared" si="18"/>
        <v>-71070.64461329428</v>
      </c>
      <c r="G148" s="2">
        <v>0</v>
      </c>
      <c r="H148" s="3">
        <f t="shared" si="15"/>
        <v>-8605107.6283710282</v>
      </c>
      <c r="I148" s="8">
        <v>0.10100000000000001</v>
      </c>
      <c r="J148" s="10">
        <f t="shared" si="14"/>
        <v>8.4166666666666678E-3</v>
      </c>
    </row>
    <row r="149" spans="1:10" x14ac:dyDescent="0.35">
      <c r="A149" s="2">
        <v>147</v>
      </c>
      <c r="B149" s="6">
        <v>48853</v>
      </c>
      <c r="C149" s="9">
        <f t="shared" si="16"/>
        <v>-8605107.6283710282</v>
      </c>
      <c r="D149" s="9">
        <v>90000</v>
      </c>
      <c r="E149" s="9">
        <f t="shared" si="17"/>
        <v>162426.32253878948</v>
      </c>
      <c r="F149" s="9">
        <f t="shared" si="18"/>
        <v>-72426.322538789493</v>
      </c>
      <c r="G149" s="3">
        <v>0</v>
      </c>
      <c r="H149" s="3">
        <f t="shared" si="15"/>
        <v>-8767533.9509098176</v>
      </c>
      <c r="I149" s="8">
        <v>0.10100000000000001</v>
      </c>
      <c r="J149" s="10">
        <f t="shared" si="14"/>
        <v>8.4166666666666678E-3</v>
      </c>
    </row>
    <row r="150" spans="1:10" x14ac:dyDescent="0.35">
      <c r="A150" s="2">
        <v>148</v>
      </c>
      <c r="B150" s="6">
        <v>48884</v>
      </c>
      <c r="C150" s="9">
        <f t="shared" si="16"/>
        <v>-8767533.9509098176</v>
      </c>
      <c r="D150" s="9">
        <v>90000</v>
      </c>
      <c r="E150" s="9">
        <f t="shared" si="17"/>
        <v>163793.41075349099</v>
      </c>
      <c r="F150" s="9">
        <f t="shared" si="18"/>
        <v>-73793.410753490971</v>
      </c>
      <c r="G150" s="3">
        <v>0</v>
      </c>
      <c r="H150" s="3">
        <f t="shared" si="15"/>
        <v>-8931327.361663308</v>
      </c>
      <c r="I150" s="8">
        <v>0.10100000000000001</v>
      </c>
      <c r="J150" s="10">
        <f t="shared" si="14"/>
        <v>8.4166666666666678E-3</v>
      </c>
    </row>
    <row r="151" spans="1:10" x14ac:dyDescent="0.35">
      <c r="A151" s="2">
        <v>149</v>
      </c>
      <c r="B151" s="6">
        <v>48914</v>
      </c>
      <c r="C151" s="9">
        <f t="shared" si="16"/>
        <v>-8931327.361663308</v>
      </c>
      <c r="D151" s="9">
        <v>90000</v>
      </c>
      <c r="E151" s="9">
        <f t="shared" si="17"/>
        <v>165172.00529399951</v>
      </c>
      <c r="F151" s="9">
        <f t="shared" si="18"/>
        <v>-75172.005293999522</v>
      </c>
      <c r="G151" s="2">
        <v>0</v>
      </c>
      <c r="H151" s="3">
        <f t="shared" si="15"/>
        <v>-9096499.3669573069</v>
      </c>
      <c r="I151" s="8">
        <v>0.10100000000000001</v>
      </c>
      <c r="J151" s="10">
        <f t="shared" si="14"/>
        <v>8.4166666666666678E-3</v>
      </c>
    </row>
    <row r="152" spans="1:10" x14ac:dyDescent="0.35">
      <c r="A152" s="2">
        <v>150</v>
      </c>
      <c r="B152" s="6">
        <v>48945</v>
      </c>
      <c r="C152" s="9">
        <f t="shared" si="16"/>
        <v>-9096499.3669573069</v>
      </c>
      <c r="D152" s="9">
        <v>90000</v>
      </c>
      <c r="E152" s="9">
        <f t="shared" si="17"/>
        <v>166562.203005224</v>
      </c>
      <c r="F152" s="9">
        <f t="shared" si="18"/>
        <v>-76562.203005224015</v>
      </c>
      <c r="G152" s="3">
        <v>0</v>
      </c>
      <c r="H152" s="3">
        <f t="shared" si="15"/>
        <v>-9263061.5699625313</v>
      </c>
      <c r="I152" s="8">
        <v>0.10100000000000001</v>
      </c>
      <c r="J152" s="10">
        <f t="shared" si="14"/>
        <v>8.4166666666666678E-3</v>
      </c>
    </row>
    <row r="153" spans="1:10" x14ac:dyDescent="0.35">
      <c r="A153" s="2">
        <v>151</v>
      </c>
      <c r="B153" s="6">
        <v>48976</v>
      </c>
      <c r="C153" s="9">
        <f t="shared" si="16"/>
        <v>-9263061.5699625313</v>
      </c>
      <c r="D153" s="9">
        <v>90000</v>
      </c>
      <c r="E153" s="9">
        <f t="shared" si="17"/>
        <v>167964.10154718463</v>
      </c>
      <c r="F153" s="9">
        <f t="shared" si="18"/>
        <v>-77964.101547184648</v>
      </c>
      <c r="G153" s="3">
        <v>0</v>
      </c>
      <c r="H153" s="3">
        <f t="shared" si="15"/>
        <v>-9431025.6715097167</v>
      </c>
      <c r="I153" s="8">
        <v>0.10100000000000001</v>
      </c>
      <c r="J153" s="10">
        <f t="shared" si="14"/>
        <v>8.4166666666666678E-3</v>
      </c>
    </row>
    <row r="154" spans="1:10" x14ac:dyDescent="0.35">
      <c r="A154" s="2">
        <v>152</v>
      </c>
      <c r="B154" s="6">
        <v>49004</v>
      </c>
      <c r="C154" s="9">
        <f t="shared" si="16"/>
        <v>-9431025.6715097167</v>
      </c>
      <c r="D154" s="9">
        <v>90000</v>
      </c>
      <c r="E154" s="9">
        <f t="shared" si="17"/>
        <v>169377.79940187346</v>
      </c>
      <c r="F154" s="9">
        <f t="shared" si="18"/>
        <v>-79377.799401873461</v>
      </c>
      <c r="G154" s="2">
        <v>0</v>
      </c>
      <c r="H154" s="3">
        <f t="shared" si="15"/>
        <v>-9600403.4709115904</v>
      </c>
      <c r="I154" s="8">
        <v>0.10100000000000001</v>
      </c>
      <c r="J154" s="10">
        <f t="shared" si="14"/>
        <v>8.4166666666666678E-3</v>
      </c>
    </row>
    <row r="155" spans="1:10" x14ac:dyDescent="0.35">
      <c r="A155" s="2">
        <v>153</v>
      </c>
      <c r="B155" s="6">
        <v>49035</v>
      </c>
      <c r="C155" s="9">
        <f t="shared" si="16"/>
        <v>-9600403.4709115904</v>
      </c>
      <c r="D155" s="9">
        <v>90000</v>
      </c>
      <c r="E155" s="9">
        <f t="shared" si="17"/>
        <v>170803.39588017255</v>
      </c>
      <c r="F155" s="9">
        <f t="shared" si="18"/>
        <v>-80803.395880172568</v>
      </c>
      <c r="G155" s="3">
        <v>0</v>
      </c>
      <c r="H155" s="3">
        <f t="shared" si="15"/>
        <v>-9771206.8667917624</v>
      </c>
      <c r="I155" s="8">
        <v>0.10100000000000001</v>
      </c>
      <c r="J155" s="10">
        <f t="shared" si="14"/>
        <v>8.4166666666666678E-3</v>
      </c>
    </row>
    <row r="156" spans="1:10" x14ac:dyDescent="0.35">
      <c r="A156" s="2">
        <v>154</v>
      </c>
      <c r="B156" s="6">
        <v>49065</v>
      </c>
      <c r="C156" s="9">
        <f t="shared" si="16"/>
        <v>-9771206.8667917624</v>
      </c>
      <c r="D156" s="9">
        <v>90000</v>
      </c>
      <c r="E156" s="9">
        <f t="shared" si="17"/>
        <v>172240.99112883068</v>
      </c>
      <c r="F156" s="9">
        <f t="shared" si="18"/>
        <v>-82240.991128830676</v>
      </c>
      <c r="G156" s="3">
        <v>0</v>
      </c>
      <c r="H156" s="3">
        <f t="shared" si="15"/>
        <v>-9943447.8579205927</v>
      </c>
      <c r="I156" s="8">
        <v>0.10100000000000001</v>
      </c>
      <c r="J156" s="10">
        <f t="shared" si="14"/>
        <v>8.4166666666666678E-3</v>
      </c>
    </row>
    <row r="157" spans="1:10" x14ac:dyDescent="0.35">
      <c r="A157" s="2">
        <v>155</v>
      </c>
      <c r="B157" s="6">
        <v>49096</v>
      </c>
      <c r="C157" s="9">
        <f t="shared" si="16"/>
        <v>-9943447.8579205927</v>
      </c>
      <c r="D157" s="9">
        <v>90000</v>
      </c>
      <c r="E157" s="9">
        <f t="shared" si="17"/>
        <v>173690.68613749833</v>
      </c>
      <c r="F157" s="9">
        <f t="shared" si="18"/>
        <v>-83690.686137498327</v>
      </c>
      <c r="G157" s="2">
        <v>0</v>
      </c>
      <c r="H157" s="3">
        <f t="shared" si="15"/>
        <v>-10117138.54405809</v>
      </c>
      <c r="I157" s="8">
        <v>0.10100000000000001</v>
      </c>
      <c r="J157" s="10">
        <f t="shared" si="14"/>
        <v>8.4166666666666678E-3</v>
      </c>
    </row>
    <row r="158" spans="1:10" x14ac:dyDescent="0.35">
      <c r="A158" s="2">
        <v>156</v>
      </c>
      <c r="B158" s="6">
        <v>49126</v>
      </c>
      <c r="C158" s="9">
        <f t="shared" si="16"/>
        <v>-10117138.54405809</v>
      </c>
      <c r="D158" s="9">
        <v>90000</v>
      </c>
      <c r="E158" s="9">
        <f t="shared" si="17"/>
        <v>175152.58274582226</v>
      </c>
      <c r="F158" s="9">
        <f t="shared" si="18"/>
        <v>-85152.582745822263</v>
      </c>
      <c r="G158" s="3">
        <v>0</v>
      </c>
      <c r="H158" s="3">
        <f t="shared" si="15"/>
        <v>-10292291.126803912</v>
      </c>
      <c r="I158" s="8">
        <v>0.10100000000000001</v>
      </c>
      <c r="J158" s="10">
        <f t="shared" si="14"/>
        <v>8.4166666666666678E-3</v>
      </c>
    </row>
    <row r="159" spans="1:10" x14ac:dyDescent="0.35">
      <c r="A159" s="2">
        <v>157</v>
      </c>
      <c r="B159" s="6">
        <v>49157</v>
      </c>
      <c r="C159" s="9">
        <f t="shared" si="16"/>
        <v>-10292291.126803912</v>
      </c>
      <c r="D159" s="9">
        <v>90000</v>
      </c>
      <c r="E159" s="9">
        <f t="shared" si="17"/>
        <v>176626.78365059959</v>
      </c>
      <c r="F159" s="9">
        <f t="shared" si="18"/>
        <v>-86626.783650599609</v>
      </c>
      <c r="G159" s="3">
        <v>0</v>
      </c>
      <c r="H159" s="3">
        <f t="shared" si="15"/>
        <v>-10468917.910454512</v>
      </c>
      <c r="I159" s="8">
        <v>0.10100000000000001</v>
      </c>
      <c r="J159" s="10">
        <f t="shared" si="14"/>
        <v>8.4166666666666678E-3</v>
      </c>
    </row>
    <row r="160" spans="1:10" x14ac:dyDescent="0.35">
      <c r="A160" s="2">
        <v>158</v>
      </c>
      <c r="B160" s="6">
        <v>49188</v>
      </c>
      <c r="C160" s="9">
        <f t="shared" si="16"/>
        <v>-10468917.910454512</v>
      </c>
      <c r="D160" s="9">
        <v>90000</v>
      </c>
      <c r="E160" s="9">
        <f t="shared" si="17"/>
        <v>178113.39241299214</v>
      </c>
      <c r="F160" s="9">
        <f t="shared" si="18"/>
        <v>-88113.392412992151</v>
      </c>
      <c r="G160" s="2">
        <v>0</v>
      </c>
      <c r="H160" s="3">
        <f t="shared" si="15"/>
        <v>-10647031.302867504</v>
      </c>
      <c r="I160" s="8">
        <v>0.10100000000000001</v>
      </c>
      <c r="J160" s="10">
        <f t="shared" si="14"/>
        <v>8.4166666666666678E-3</v>
      </c>
    </row>
    <row r="161" spans="1:10" x14ac:dyDescent="0.35">
      <c r="A161" s="2">
        <v>159</v>
      </c>
      <c r="B161" s="6">
        <v>49218</v>
      </c>
      <c r="C161" s="9">
        <f t="shared" si="16"/>
        <v>-10647031.302867504</v>
      </c>
      <c r="D161" s="9">
        <v>90000</v>
      </c>
      <c r="E161" s="9">
        <f t="shared" si="17"/>
        <v>179612.51346580149</v>
      </c>
      <c r="F161" s="9">
        <f t="shared" si="18"/>
        <v>-89612.513465801501</v>
      </c>
      <c r="G161" s="3">
        <v>0</v>
      </c>
      <c r="H161" s="3">
        <f t="shared" si="15"/>
        <v>-10826643.816333305</v>
      </c>
      <c r="I161" s="8">
        <v>0.10100000000000001</v>
      </c>
      <c r="J161" s="10">
        <f t="shared" si="14"/>
        <v>8.4166666666666678E-3</v>
      </c>
    </row>
    <row r="162" spans="1:10" x14ac:dyDescent="0.35">
      <c r="A162" s="2">
        <v>160</v>
      </c>
      <c r="B162" s="6">
        <v>49249</v>
      </c>
      <c r="C162" s="9">
        <f t="shared" si="16"/>
        <v>-10826643.816333305</v>
      </c>
      <c r="D162" s="9">
        <v>90000</v>
      </c>
      <c r="E162" s="9">
        <f t="shared" si="17"/>
        <v>181124.25212080532</v>
      </c>
      <c r="F162" s="9">
        <f t="shared" si="18"/>
        <v>-91124.252120805337</v>
      </c>
      <c r="G162" s="3">
        <v>0</v>
      </c>
      <c r="H162" s="3">
        <f t="shared" si="15"/>
        <v>-11007768.068454111</v>
      </c>
      <c r="I162" s="8">
        <v>0.10100000000000001</v>
      </c>
      <c r="J162" s="10">
        <f t="shared" si="14"/>
        <v>8.4166666666666678E-3</v>
      </c>
    </row>
    <row r="163" spans="1:10" x14ac:dyDescent="0.35">
      <c r="A163" s="2">
        <v>161</v>
      </c>
      <c r="B163" s="6">
        <v>49279</v>
      </c>
      <c r="C163" s="9">
        <f t="shared" si="16"/>
        <v>-11007768.068454111</v>
      </c>
      <c r="D163" s="9">
        <v>90000</v>
      </c>
      <c r="E163" s="9">
        <f t="shared" si="17"/>
        <v>182648.71457615544</v>
      </c>
      <c r="F163" s="9">
        <f t="shared" si="18"/>
        <v>-92648.714576155442</v>
      </c>
      <c r="G163" s="2">
        <v>0</v>
      </c>
      <c r="H163" s="3">
        <f t="shared" si="15"/>
        <v>-11190416.783030266</v>
      </c>
      <c r="I163" s="8">
        <v>0.10100000000000001</v>
      </c>
      <c r="J163" s="10">
        <f t="shared" si="14"/>
        <v>8.4166666666666678E-3</v>
      </c>
    </row>
    <row r="164" spans="1:10" x14ac:dyDescent="0.35">
      <c r="A164" s="2">
        <v>162</v>
      </c>
      <c r="B164" s="6">
        <v>49310</v>
      </c>
      <c r="C164" s="9">
        <f t="shared" si="16"/>
        <v>-11190416.783030266</v>
      </c>
      <c r="D164" s="9">
        <v>90000</v>
      </c>
      <c r="E164" s="9">
        <f t="shared" si="17"/>
        <v>184186.0079238381</v>
      </c>
      <c r="F164" s="9">
        <f t="shared" si="18"/>
        <v>-94186.007923838086</v>
      </c>
      <c r="G164" s="3">
        <v>0</v>
      </c>
      <c r="H164" s="3">
        <f t="shared" si="15"/>
        <v>-11374602.790954104</v>
      </c>
      <c r="I164" s="8">
        <v>0.10100000000000001</v>
      </c>
      <c r="J164" s="10">
        <f t="shared" si="14"/>
        <v>8.4166666666666678E-3</v>
      </c>
    </row>
    <row r="165" spans="1:10" x14ac:dyDescent="0.35">
      <c r="A165" s="2">
        <v>163</v>
      </c>
      <c r="B165" s="6">
        <v>49341</v>
      </c>
      <c r="C165" s="9">
        <f t="shared" si="16"/>
        <v>-11374602.790954104</v>
      </c>
      <c r="D165" s="9">
        <v>90000</v>
      </c>
      <c r="E165" s="9">
        <f t="shared" si="17"/>
        <v>185736.24015719705</v>
      </c>
      <c r="F165" s="9">
        <f t="shared" si="18"/>
        <v>-95736.240157197055</v>
      </c>
      <c r="G165" s="3">
        <v>0</v>
      </c>
      <c r="H165" s="3">
        <f t="shared" si="15"/>
        <v>-11560339.0311113</v>
      </c>
      <c r="I165" s="8">
        <v>0.10100000000000001</v>
      </c>
      <c r="J165" s="10">
        <f t="shared" si="14"/>
        <v>8.4166666666666678E-3</v>
      </c>
    </row>
    <row r="166" spans="1:10" x14ac:dyDescent="0.35">
      <c r="A166" s="2">
        <v>164</v>
      </c>
      <c r="B166" s="6">
        <v>49369</v>
      </c>
      <c r="C166" s="9">
        <f t="shared" si="16"/>
        <v>-11560339.0311113</v>
      </c>
      <c r="D166" s="9">
        <v>90000</v>
      </c>
      <c r="E166" s="9">
        <f t="shared" si="17"/>
        <v>187299.52017852012</v>
      </c>
      <c r="F166" s="9">
        <f t="shared" si="18"/>
        <v>-97299.520178520121</v>
      </c>
      <c r="G166" s="2">
        <v>0</v>
      </c>
      <c r="H166" s="3">
        <f t="shared" si="15"/>
        <v>-11747638.551289819</v>
      </c>
      <c r="I166" s="8">
        <v>0.10100000000000001</v>
      </c>
      <c r="J166" s="10">
        <f t="shared" si="14"/>
        <v>8.4166666666666678E-3</v>
      </c>
    </row>
    <row r="167" spans="1:10" x14ac:dyDescent="0.35">
      <c r="A167" s="2">
        <v>165</v>
      </c>
      <c r="B167" s="6">
        <v>49400</v>
      </c>
      <c r="C167" s="9">
        <f t="shared" si="16"/>
        <v>-11747638.551289819</v>
      </c>
      <c r="D167" s="9">
        <v>90000</v>
      </c>
      <c r="E167" s="9">
        <f t="shared" si="17"/>
        <v>188875.95780668932</v>
      </c>
      <c r="F167" s="9">
        <f t="shared" si="18"/>
        <v>-98875.95780668933</v>
      </c>
      <c r="G167" s="3">
        <v>0</v>
      </c>
      <c r="H167" s="3">
        <f t="shared" si="15"/>
        <v>-11936514.509096509</v>
      </c>
      <c r="I167" s="8">
        <v>0.10100000000000001</v>
      </c>
      <c r="J167" s="10">
        <f t="shared" si="14"/>
        <v>8.4166666666666678E-3</v>
      </c>
    </row>
    <row r="168" spans="1:10" x14ac:dyDescent="0.35">
      <c r="A168" s="2">
        <v>166</v>
      </c>
      <c r="B168" s="6">
        <v>49430</v>
      </c>
      <c r="C168" s="9">
        <f t="shared" si="16"/>
        <v>-11936514.509096509</v>
      </c>
      <c r="D168" s="9">
        <v>90000</v>
      </c>
      <c r="E168" s="9">
        <f t="shared" si="17"/>
        <v>190465.66378489562</v>
      </c>
      <c r="F168" s="9">
        <f t="shared" si="18"/>
        <v>-100465.66378489563</v>
      </c>
      <c r="G168" s="3">
        <v>0</v>
      </c>
      <c r="H168" s="3">
        <f t="shared" si="15"/>
        <v>-12126980.172881404</v>
      </c>
      <c r="I168" s="8">
        <v>0.10100000000000001</v>
      </c>
      <c r="J168" s="10">
        <f t="shared" si="14"/>
        <v>8.4166666666666678E-3</v>
      </c>
    </row>
    <row r="169" spans="1:10" x14ac:dyDescent="0.35">
      <c r="A169" s="2">
        <v>167</v>
      </c>
      <c r="B169" s="6">
        <v>49461</v>
      </c>
      <c r="C169" s="9">
        <f t="shared" si="16"/>
        <v>-12126980.172881404</v>
      </c>
      <c r="D169" s="9">
        <v>90000</v>
      </c>
      <c r="E169" s="9">
        <f t="shared" si="17"/>
        <v>192068.7497884185</v>
      </c>
      <c r="F169" s="9">
        <f t="shared" si="18"/>
        <v>-102068.7497884185</v>
      </c>
      <c r="G169" s="2">
        <v>0</v>
      </c>
      <c r="H169" s="3">
        <f t="shared" si="15"/>
        <v>-12319048.922669822</v>
      </c>
      <c r="I169" s="8">
        <v>0.10100000000000001</v>
      </c>
      <c r="J169" s="10">
        <f t="shared" si="14"/>
        <v>8.4166666666666678E-3</v>
      </c>
    </row>
    <row r="170" spans="1:10" x14ac:dyDescent="0.35">
      <c r="A170" s="2">
        <v>168</v>
      </c>
      <c r="B170" s="6">
        <v>49491</v>
      </c>
      <c r="C170" s="9">
        <f t="shared" si="16"/>
        <v>-12319048.922669822</v>
      </c>
      <c r="D170" s="9">
        <v>90000</v>
      </c>
      <c r="E170" s="9">
        <f t="shared" si="17"/>
        <v>193685.32843247103</v>
      </c>
      <c r="F170" s="9">
        <f t="shared" si="18"/>
        <v>-103685.32843247103</v>
      </c>
      <c r="G170" s="3">
        <v>0</v>
      </c>
      <c r="H170" s="3">
        <f t="shared" si="15"/>
        <v>-12512734.251102293</v>
      </c>
      <c r="I170" s="8">
        <v>0.10100000000000001</v>
      </c>
      <c r="J170" s="10">
        <f t="shared" si="14"/>
        <v>8.4166666666666678E-3</v>
      </c>
    </row>
    <row r="171" spans="1:10" x14ac:dyDescent="0.35">
      <c r="A171" s="2">
        <v>169</v>
      </c>
      <c r="B171" s="6">
        <v>49522</v>
      </c>
      <c r="C171" s="9">
        <f t="shared" si="16"/>
        <v>-12512734.251102293</v>
      </c>
      <c r="D171" s="9">
        <v>90000</v>
      </c>
      <c r="E171" s="9">
        <f t="shared" si="17"/>
        <v>195315.51328011096</v>
      </c>
      <c r="F171" s="9">
        <f t="shared" si="18"/>
        <v>-105315.51328011097</v>
      </c>
      <c r="G171" s="3">
        <v>0</v>
      </c>
      <c r="H171" s="3">
        <f t="shared" si="15"/>
        <v>-12708049.764382403</v>
      </c>
      <c r="I171" s="8">
        <v>0.10100000000000001</v>
      </c>
      <c r="J171" s="10">
        <f t="shared" si="14"/>
        <v>8.4166666666666678E-3</v>
      </c>
    </row>
    <row r="172" spans="1:10" x14ac:dyDescent="0.35">
      <c r="A172" s="2">
        <v>170</v>
      </c>
      <c r="B172" s="6">
        <v>49553</v>
      </c>
      <c r="C172" s="9">
        <f t="shared" si="16"/>
        <v>-12708049.764382403</v>
      </c>
      <c r="D172" s="9">
        <v>90000</v>
      </c>
      <c r="E172" s="9">
        <f t="shared" si="17"/>
        <v>196959.41885021859</v>
      </c>
      <c r="F172" s="9">
        <f t="shared" si="18"/>
        <v>-106959.41885021857</v>
      </c>
      <c r="G172" s="2">
        <v>0</v>
      </c>
      <c r="H172" s="3">
        <f t="shared" si="15"/>
        <v>-12905009.183232622</v>
      </c>
      <c r="I172" s="8">
        <v>0.10100000000000001</v>
      </c>
      <c r="J172" s="10">
        <f t="shared" si="14"/>
        <v>8.4166666666666678E-3</v>
      </c>
    </row>
    <row r="173" spans="1:10" x14ac:dyDescent="0.35">
      <c r="A173" s="2">
        <v>171</v>
      </c>
      <c r="B173" s="6">
        <v>49583</v>
      </c>
      <c r="C173" s="9">
        <f t="shared" si="16"/>
        <v>-12905009.183232622</v>
      </c>
      <c r="D173" s="9">
        <v>90000</v>
      </c>
      <c r="E173" s="9">
        <f t="shared" si="17"/>
        <v>198617.16062554123</v>
      </c>
      <c r="F173" s="9">
        <f t="shared" si="18"/>
        <v>-108617.16062554125</v>
      </c>
      <c r="G173" s="3">
        <v>0</v>
      </c>
      <c r="H173" s="3">
        <f t="shared" si="15"/>
        <v>-13103626.343858164</v>
      </c>
      <c r="I173" s="8">
        <v>0.10100000000000001</v>
      </c>
      <c r="J173" s="10">
        <f t="shared" si="14"/>
        <v>8.4166666666666678E-3</v>
      </c>
    </row>
    <row r="174" spans="1:10" x14ac:dyDescent="0.35">
      <c r="A174" s="2">
        <v>172</v>
      </c>
      <c r="B174" s="6">
        <v>49614</v>
      </c>
      <c r="C174" s="9">
        <f t="shared" si="16"/>
        <v>-13103626.343858164</v>
      </c>
      <c r="D174" s="9">
        <v>90000</v>
      </c>
      <c r="E174" s="9">
        <f t="shared" si="17"/>
        <v>200288.85506080621</v>
      </c>
      <c r="F174" s="9">
        <f t="shared" si="18"/>
        <v>-110288.85506080622</v>
      </c>
      <c r="G174" s="3">
        <v>0</v>
      </c>
      <c r="H174" s="3">
        <f t="shared" si="15"/>
        <v>-13303915.19891897</v>
      </c>
      <c r="I174" s="8">
        <v>0.10100000000000001</v>
      </c>
      <c r="J174" s="10">
        <f t="shared" si="14"/>
        <v>8.4166666666666678E-3</v>
      </c>
    </row>
    <row r="175" spans="1:10" x14ac:dyDescent="0.35">
      <c r="A175" s="2">
        <v>173</v>
      </c>
      <c r="B175" s="6">
        <v>49644</v>
      </c>
      <c r="C175" s="9">
        <f t="shared" si="16"/>
        <v>-13303915.19891897</v>
      </c>
      <c r="D175" s="9">
        <v>90000</v>
      </c>
      <c r="E175" s="9">
        <f t="shared" si="17"/>
        <v>201974.61959090136</v>
      </c>
      <c r="F175" s="9">
        <f t="shared" si="18"/>
        <v>-111974.61959090135</v>
      </c>
      <c r="G175" s="2">
        <v>0</v>
      </c>
      <c r="H175" s="3">
        <f t="shared" si="15"/>
        <v>-13505889.818509871</v>
      </c>
      <c r="I175" s="8">
        <v>0.10100000000000001</v>
      </c>
      <c r="J175" s="10">
        <f t="shared" si="14"/>
        <v>8.4166666666666678E-3</v>
      </c>
    </row>
    <row r="176" spans="1:10" x14ac:dyDescent="0.35">
      <c r="A176" s="2">
        <v>174</v>
      </c>
      <c r="B176" s="6">
        <v>49675</v>
      </c>
      <c r="C176" s="9">
        <f t="shared" si="16"/>
        <v>-13505889.818509871</v>
      </c>
      <c r="D176" s="9">
        <v>90000</v>
      </c>
      <c r="E176" s="9">
        <f t="shared" si="17"/>
        <v>203674.57263912476</v>
      </c>
      <c r="F176" s="9">
        <f t="shared" si="18"/>
        <v>-113674.57263912476</v>
      </c>
      <c r="G176" s="3">
        <v>0</v>
      </c>
      <c r="H176" s="3">
        <f t="shared" si="15"/>
        <v>-13709564.391148996</v>
      </c>
      <c r="I176" s="8">
        <v>0.10100000000000001</v>
      </c>
      <c r="J176" s="10">
        <f t="shared" si="14"/>
        <v>8.4166666666666678E-3</v>
      </c>
    </row>
    <row r="177" spans="1:10" x14ac:dyDescent="0.35">
      <c r="A177" s="2">
        <v>175</v>
      </c>
      <c r="B177" s="6">
        <v>49706</v>
      </c>
      <c r="C177" s="9">
        <f t="shared" si="16"/>
        <v>-13709564.391148996</v>
      </c>
      <c r="D177" s="9">
        <v>90000</v>
      </c>
      <c r="E177" s="9">
        <f t="shared" si="17"/>
        <v>205388.83362550405</v>
      </c>
      <c r="F177" s="9">
        <f t="shared" si="18"/>
        <v>-115388.83362550406</v>
      </c>
      <c r="G177" s="3">
        <v>0</v>
      </c>
      <c r="H177" s="3">
        <f t="shared" si="15"/>
        <v>-13914953.2247745</v>
      </c>
      <c r="I177" s="8">
        <v>0.10100000000000001</v>
      </c>
      <c r="J177" s="10">
        <f t="shared" si="14"/>
        <v>8.4166666666666678E-3</v>
      </c>
    </row>
    <row r="178" spans="1:10" x14ac:dyDescent="0.35">
      <c r="A178" s="2">
        <v>176</v>
      </c>
      <c r="B178" s="6">
        <v>49735</v>
      </c>
      <c r="C178" s="9">
        <f t="shared" si="16"/>
        <v>-13914953.2247745</v>
      </c>
      <c r="D178" s="9">
        <v>90000</v>
      </c>
      <c r="E178" s="9">
        <f t="shared" si="17"/>
        <v>207117.52297518539</v>
      </c>
      <c r="F178" s="9">
        <f t="shared" si="18"/>
        <v>-117117.52297518539</v>
      </c>
      <c r="G178" s="2">
        <v>0</v>
      </c>
      <c r="H178" s="3">
        <f t="shared" si="15"/>
        <v>-14122070.747749686</v>
      </c>
      <c r="I178" s="8">
        <v>0.10100000000000001</v>
      </c>
      <c r="J178" s="10">
        <f t="shared" si="14"/>
        <v>8.4166666666666678E-3</v>
      </c>
    </row>
    <row r="179" spans="1:10" x14ac:dyDescent="0.35">
      <c r="A179" s="2">
        <v>177</v>
      </c>
      <c r="B179" s="6">
        <v>49766</v>
      </c>
      <c r="C179" s="9">
        <f t="shared" si="16"/>
        <v>-14122070.747749686</v>
      </c>
      <c r="D179" s="9">
        <v>90000</v>
      </c>
      <c r="E179" s="9">
        <f t="shared" si="17"/>
        <v>208860.76212689321</v>
      </c>
      <c r="F179" s="9">
        <f t="shared" si="18"/>
        <v>-118860.76212689321</v>
      </c>
      <c r="G179" s="3">
        <v>0</v>
      </c>
      <c r="H179" s="3">
        <f t="shared" si="15"/>
        <v>-14330931.509876579</v>
      </c>
      <c r="I179" s="8">
        <v>0.10100000000000001</v>
      </c>
      <c r="J179" s="10">
        <f t="shared" si="14"/>
        <v>8.4166666666666678E-3</v>
      </c>
    </row>
    <row r="180" spans="1:10" x14ac:dyDescent="0.35">
      <c r="A180" s="2">
        <v>178</v>
      </c>
      <c r="B180" s="6">
        <v>49796</v>
      </c>
      <c r="C180" s="9">
        <f t="shared" si="16"/>
        <v>-14330931.509876579</v>
      </c>
      <c r="D180" s="9">
        <v>90000</v>
      </c>
      <c r="E180" s="9">
        <f t="shared" si="17"/>
        <v>210618.67354146123</v>
      </c>
      <c r="F180" s="9">
        <f t="shared" si="18"/>
        <v>-120618.67354146122</v>
      </c>
      <c r="G180" s="3">
        <v>0</v>
      </c>
      <c r="H180" s="3">
        <f t="shared" si="15"/>
        <v>-14541550.183418041</v>
      </c>
      <c r="I180" s="8">
        <v>0.10100000000000001</v>
      </c>
      <c r="J180" s="10">
        <f t="shared" si="14"/>
        <v>8.4166666666666678E-3</v>
      </c>
    </row>
    <row r="181" spans="1:10" x14ac:dyDescent="0.35">
      <c r="A181" s="2">
        <v>179</v>
      </c>
      <c r="B181" s="6">
        <v>49827</v>
      </c>
      <c r="C181" s="9">
        <f t="shared" si="16"/>
        <v>-14541550.183418041</v>
      </c>
      <c r="D181" s="9">
        <v>90000</v>
      </c>
      <c r="E181" s="9">
        <f t="shared" si="17"/>
        <v>212391.38071043522</v>
      </c>
      <c r="F181" s="9">
        <f t="shared" si="18"/>
        <v>-122391.3807104352</v>
      </c>
      <c r="G181" s="2">
        <v>0</v>
      </c>
      <c r="H181" s="3">
        <f t="shared" si="15"/>
        <v>-14753941.564128477</v>
      </c>
      <c r="I181" s="8">
        <v>0.10100000000000001</v>
      </c>
      <c r="J181" s="10">
        <f t="shared" si="14"/>
        <v>8.4166666666666678E-3</v>
      </c>
    </row>
    <row r="182" spans="1:10" x14ac:dyDescent="0.35">
      <c r="A182" s="2">
        <v>180</v>
      </c>
      <c r="B182" s="6">
        <v>49857</v>
      </c>
      <c r="C182" s="9">
        <f t="shared" si="16"/>
        <v>-14753941.564128477</v>
      </c>
      <c r="D182" s="9">
        <v>90000</v>
      </c>
      <c r="E182" s="9">
        <f t="shared" si="17"/>
        <v>214179.00816474803</v>
      </c>
      <c r="F182" s="9">
        <f t="shared" si="18"/>
        <v>-124179.00816474803</v>
      </c>
      <c r="G182" s="3">
        <v>0</v>
      </c>
      <c r="H182" s="3">
        <f t="shared" si="15"/>
        <v>-14968120.572293226</v>
      </c>
      <c r="I182" s="8">
        <v>0.10100000000000001</v>
      </c>
      <c r="J182" s="10">
        <f t="shared" si="14"/>
        <v>8.4166666666666678E-3</v>
      </c>
    </row>
    <row r="183" spans="1:10" x14ac:dyDescent="0.35">
      <c r="A183" s="2">
        <v>181</v>
      </c>
      <c r="B183" s="6">
        <v>49888</v>
      </c>
      <c r="C183" s="9">
        <f t="shared" si="16"/>
        <v>-14968120.572293226</v>
      </c>
      <c r="D183" s="9">
        <v>90000</v>
      </c>
      <c r="E183" s="9">
        <f t="shared" si="17"/>
        <v>215981.68148346798</v>
      </c>
      <c r="F183" s="9">
        <f t="shared" si="18"/>
        <v>-125981.681483468</v>
      </c>
      <c r="G183" s="3">
        <v>0</v>
      </c>
      <c r="H183" s="3">
        <f t="shared" si="15"/>
        <v>-15184102.253776694</v>
      </c>
      <c r="I183" s="8">
        <v>0.10100000000000001</v>
      </c>
      <c r="J183" s="10">
        <f t="shared" si="14"/>
        <v>8.4166666666666678E-3</v>
      </c>
    </row>
    <row r="184" spans="1:10" x14ac:dyDescent="0.35">
      <c r="A184" s="2">
        <v>182</v>
      </c>
      <c r="B184" s="6">
        <v>49919</v>
      </c>
      <c r="C184" s="9">
        <f t="shared" si="16"/>
        <v>-15184102.253776694</v>
      </c>
      <c r="D184" s="9">
        <v>90000</v>
      </c>
      <c r="E184" s="9">
        <f t="shared" si="17"/>
        <v>217799.52730262053</v>
      </c>
      <c r="F184" s="9">
        <f t="shared" si="18"/>
        <v>-127799.52730262053</v>
      </c>
      <c r="G184" s="2">
        <v>0</v>
      </c>
      <c r="H184" s="3">
        <f t="shared" si="15"/>
        <v>-15401901.781079315</v>
      </c>
      <c r="I184" s="8">
        <v>0.10100000000000001</v>
      </c>
      <c r="J184" s="10">
        <f t="shared" si="14"/>
        <v>8.4166666666666678E-3</v>
      </c>
    </row>
    <row r="185" spans="1:10" x14ac:dyDescent="0.35">
      <c r="A185" s="2">
        <v>183</v>
      </c>
      <c r="B185" s="6">
        <v>49949</v>
      </c>
      <c r="C185" s="9">
        <f t="shared" si="16"/>
        <v>-15401901.781079315</v>
      </c>
      <c r="D185" s="9">
        <v>90000</v>
      </c>
      <c r="E185" s="9">
        <f t="shared" si="17"/>
        <v>219632.67332408426</v>
      </c>
      <c r="F185" s="9">
        <f t="shared" si="18"/>
        <v>-129632.67332408424</v>
      </c>
      <c r="G185" s="3">
        <v>0</v>
      </c>
      <c r="H185" s="3">
        <f t="shared" si="15"/>
        <v>-15621534.454403399</v>
      </c>
      <c r="I185" s="8">
        <v>0.10100000000000001</v>
      </c>
      <c r="J185" s="10">
        <f t="shared" si="14"/>
        <v>8.4166666666666678E-3</v>
      </c>
    </row>
    <row r="186" spans="1:10" x14ac:dyDescent="0.35">
      <c r="A186" s="2">
        <v>184</v>
      </c>
      <c r="B186" s="6">
        <v>49980</v>
      </c>
      <c r="C186" s="9">
        <f t="shared" si="16"/>
        <v>-15621534.454403399</v>
      </c>
      <c r="D186" s="9">
        <v>90000</v>
      </c>
      <c r="E186" s="9">
        <f t="shared" si="17"/>
        <v>221481.24832456195</v>
      </c>
      <c r="F186" s="9">
        <f t="shared" si="18"/>
        <v>-131481.24832456195</v>
      </c>
      <c r="G186" s="3">
        <v>0</v>
      </c>
      <c r="H186" s="3">
        <f t="shared" si="15"/>
        <v>-15843015.70272796</v>
      </c>
      <c r="I186" s="8">
        <v>0.10100000000000001</v>
      </c>
      <c r="J186" s="10">
        <f t="shared" si="14"/>
        <v>8.4166666666666678E-3</v>
      </c>
    </row>
    <row r="187" spans="1:10" x14ac:dyDescent="0.35">
      <c r="A187" s="2">
        <v>185</v>
      </c>
      <c r="B187" s="6">
        <v>50010</v>
      </c>
      <c r="C187" s="9">
        <f t="shared" si="16"/>
        <v>-15843015.70272796</v>
      </c>
      <c r="D187" s="9">
        <v>90000</v>
      </c>
      <c r="E187" s="9">
        <f t="shared" si="17"/>
        <v>223345.38216462702</v>
      </c>
      <c r="F187" s="9">
        <f t="shared" si="18"/>
        <v>-133345.38216462702</v>
      </c>
      <c r="G187" s="2">
        <v>0</v>
      </c>
      <c r="H187" s="3">
        <f t="shared" si="15"/>
        <v>-16066361.084892588</v>
      </c>
      <c r="I187" s="8">
        <v>0.10100000000000001</v>
      </c>
      <c r="J187" s="10">
        <f t="shared" si="14"/>
        <v>8.4166666666666678E-3</v>
      </c>
    </row>
    <row r="188" spans="1:10" x14ac:dyDescent="0.35">
      <c r="A188" s="2">
        <v>186</v>
      </c>
      <c r="B188" s="6">
        <v>50041</v>
      </c>
      <c r="C188" s="9">
        <f t="shared" si="16"/>
        <v>-16066361.084892588</v>
      </c>
      <c r="D188" s="9">
        <v>90000</v>
      </c>
      <c r="E188" s="9">
        <f t="shared" si="17"/>
        <v>225225.20579784596</v>
      </c>
      <c r="F188" s="9">
        <f t="shared" si="18"/>
        <v>-135225.20579784596</v>
      </c>
      <c r="G188" s="3">
        <v>0</v>
      </c>
      <c r="H188" s="3">
        <f t="shared" si="15"/>
        <v>-16291586.290690433</v>
      </c>
      <c r="I188" s="8">
        <v>0.10100000000000001</v>
      </c>
      <c r="J188" s="10">
        <f t="shared" si="14"/>
        <v>8.4166666666666678E-3</v>
      </c>
    </row>
    <row r="189" spans="1:10" x14ac:dyDescent="0.35">
      <c r="A189" s="2">
        <v>187</v>
      </c>
      <c r="B189" s="6">
        <v>50072</v>
      </c>
      <c r="C189" s="9">
        <f t="shared" si="16"/>
        <v>-16291586.290690433</v>
      </c>
      <c r="D189" s="9">
        <v>90000</v>
      </c>
      <c r="E189" s="9">
        <f t="shared" si="17"/>
        <v>227120.85127997783</v>
      </c>
      <c r="F189" s="9">
        <f t="shared" si="18"/>
        <v>-137120.85127997783</v>
      </c>
      <c r="G189" s="3">
        <v>0</v>
      </c>
      <c r="H189" s="3">
        <f t="shared" si="15"/>
        <v>-16518707.141970411</v>
      </c>
      <c r="I189" s="8">
        <v>0.10100000000000001</v>
      </c>
      <c r="J189" s="10">
        <f t="shared" si="14"/>
        <v>8.4166666666666678E-3</v>
      </c>
    </row>
    <row r="190" spans="1:10" x14ac:dyDescent="0.35">
      <c r="A190" s="2">
        <v>188</v>
      </c>
      <c r="B190" s="6">
        <v>50100</v>
      </c>
      <c r="C190" s="9">
        <f t="shared" si="16"/>
        <v>-16518707.141970411</v>
      </c>
      <c r="D190" s="9">
        <v>90000</v>
      </c>
      <c r="E190" s="9">
        <f t="shared" si="17"/>
        <v>229032.45177825098</v>
      </c>
      <c r="F190" s="9">
        <f t="shared" si="18"/>
        <v>-139032.45177825098</v>
      </c>
      <c r="G190" s="2">
        <v>0</v>
      </c>
      <c r="H190" s="3">
        <f t="shared" si="15"/>
        <v>-16747739.593748663</v>
      </c>
      <c r="I190" s="8">
        <v>0.10100000000000001</v>
      </c>
      <c r="J190" s="10">
        <f t="shared" si="14"/>
        <v>8.4166666666666678E-3</v>
      </c>
    </row>
    <row r="191" spans="1:10" x14ac:dyDescent="0.35">
      <c r="A191" s="2">
        <v>189</v>
      </c>
      <c r="B191" s="6">
        <v>50131</v>
      </c>
      <c r="C191" s="9">
        <f t="shared" si="16"/>
        <v>-16747739.593748663</v>
      </c>
      <c r="D191" s="9">
        <v>90000</v>
      </c>
      <c r="E191" s="9">
        <f t="shared" si="17"/>
        <v>230960.14158071793</v>
      </c>
      <c r="F191" s="9">
        <f t="shared" si="18"/>
        <v>-140960.14158071793</v>
      </c>
      <c r="G191" s="3">
        <v>0</v>
      </c>
      <c r="H191" s="3">
        <f t="shared" si="15"/>
        <v>-16978699.735329382</v>
      </c>
      <c r="I191" s="8">
        <v>0.10100000000000001</v>
      </c>
      <c r="J191" s="10">
        <f t="shared" si="14"/>
        <v>8.4166666666666678E-3</v>
      </c>
    </row>
    <row r="192" spans="1:10" x14ac:dyDescent="0.35">
      <c r="A192" s="2">
        <v>190</v>
      </c>
      <c r="B192" s="6">
        <v>50161</v>
      </c>
      <c r="C192" s="9">
        <f t="shared" si="16"/>
        <v>-16978699.735329382</v>
      </c>
      <c r="D192" s="9">
        <v>90000</v>
      </c>
      <c r="E192" s="9">
        <f t="shared" si="17"/>
        <v>232904.05610568897</v>
      </c>
      <c r="F192" s="9">
        <f t="shared" si="18"/>
        <v>-142904.05610568897</v>
      </c>
      <c r="G192" s="3">
        <v>0</v>
      </c>
      <c r="H192" s="3">
        <f t="shared" si="15"/>
        <v>-17211603.79143507</v>
      </c>
      <c r="I192" s="8">
        <v>0.10100000000000001</v>
      </c>
      <c r="J192" s="10">
        <f t="shared" si="14"/>
        <v>8.4166666666666678E-3</v>
      </c>
    </row>
    <row r="193" spans="1:10" x14ac:dyDescent="0.35">
      <c r="A193" s="2">
        <v>191</v>
      </c>
      <c r="B193" s="6">
        <v>50192</v>
      </c>
      <c r="C193" s="9">
        <f t="shared" si="16"/>
        <v>-17211603.79143507</v>
      </c>
      <c r="D193" s="9">
        <v>90000</v>
      </c>
      <c r="E193" s="9">
        <f t="shared" si="17"/>
        <v>234864.33191124519</v>
      </c>
      <c r="F193" s="9">
        <f t="shared" si="18"/>
        <v>-144864.33191124519</v>
      </c>
      <c r="G193" s="2">
        <v>0</v>
      </c>
      <c r="H193" s="3">
        <f t="shared" si="15"/>
        <v>-17446468.123346314</v>
      </c>
      <c r="I193" s="8">
        <v>0.10100000000000001</v>
      </c>
      <c r="J193" s="10">
        <f t="shared" si="14"/>
        <v>8.4166666666666678E-3</v>
      </c>
    </row>
    <row r="194" spans="1:10" x14ac:dyDescent="0.35">
      <c r="A194" s="2">
        <v>192</v>
      </c>
      <c r="B194" s="6">
        <v>50222</v>
      </c>
      <c r="C194" s="9">
        <f t="shared" si="16"/>
        <v>-17446468.123346314</v>
      </c>
      <c r="D194" s="9">
        <v>90000</v>
      </c>
      <c r="E194" s="9">
        <f t="shared" si="17"/>
        <v>236841.1067048315</v>
      </c>
      <c r="F194" s="9">
        <f t="shared" si="18"/>
        <v>-146841.1067048315</v>
      </c>
      <c r="G194" s="3">
        <v>0</v>
      </c>
      <c r="H194" s="3">
        <f t="shared" si="15"/>
        <v>-17683309.230051145</v>
      </c>
      <c r="I194" s="8">
        <v>0.10100000000000001</v>
      </c>
      <c r="J194" s="10">
        <f t="shared" si="14"/>
        <v>8.4166666666666678E-3</v>
      </c>
    </row>
    <row r="195" spans="1:10" x14ac:dyDescent="0.35">
      <c r="A195" s="2">
        <v>193</v>
      </c>
      <c r="B195" s="6">
        <v>50253</v>
      </c>
      <c r="C195" s="9">
        <f t="shared" si="16"/>
        <v>-17683309.230051145</v>
      </c>
      <c r="D195" s="9">
        <v>90000</v>
      </c>
      <c r="E195" s="9">
        <f t="shared" si="17"/>
        <v>238834.51935293048</v>
      </c>
      <c r="F195" s="9">
        <f t="shared" si="18"/>
        <v>-148834.51935293048</v>
      </c>
      <c r="G195" s="3">
        <v>0</v>
      </c>
      <c r="H195" s="3">
        <f t="shared" si="15"/>
        <v>-17922143.749404076</v>
      </c>
      <c r="I195" s="8">
        <v>0.10100000000000001</v>
      </c>
      <c r="J195" s="10">
        <f t="shared" ref="J195:J242" si="19">I195/12</f>
        <v>8.4166666666666678E-3</v>
      </c>
    </row>
    <row r="196" spans="1:10" x14ac:dyDescent="0.35">
      <c r="A196" s="2">
        <v>194</v>
      </c>
      <c r="B196" s="6">
        <v>50284</v>
      </c>
      <c r="C196" s="9">
        <f t="shared" si="16"/>
        <v>-17922143.749404076</v>
      </c>
      <c r="D196" s="9">
        <v>90000</v>
      </c>
      <c r="E196" s="9">
        <f t="shared" si="17"/>
        <v>240844.70989081767</v>
      </c>
      <c r="F196" s="9">
        <f t="shared" si="18"/>
        <v>-150844.70989081767</v>
      </c>
      <c r="G196" s="2">
        <v>0</v>
      </c>
      <c r="H196" s="3">
        <f t="shared" ref="H196:H242" si="20">C196-E196-G196</f>
        <v>-18162988.459294893</v>
      </c>
      <c r="I196" s="8">
        <v>0.10100000000000001</v>
      </c>
      <c r="J196" s="10">
        <f t="shared" si="19"/>
        <v>8.4166666666666678E-3</v>
      </c>
    </row>
    <row r="197" spans="1:10" x14ac:dyDescent="0.35">
      <c r="A197" s="2">
        <v>195</v>
      </c>
      <c r="B197" s="6">
        <v>50314</v>
      </c>
      <c r="C197" s="9">
        <f t="shared" ref="C197:C242" si="21">H196</f>
        <v>-18162988.459294893</v>
      </c>
      <c r="D197" s="9">
        <v>90000</v>
      </c>
      <c r="E197" s="9">
        <f t="shared" ref="E197:E242" si="22">D197-F197</f>
        <v>242871.81953239869</v>
      </c>
      <c r="F197" s="9">
        <f t="shared" ref="F197:F242" si="23">C197*J197</f>
        <v>-152871.81953239869</v>
      </c>
      <c r="G197" s="3">
        <v>0</v>
      </c>
      <c r="H197" s="3">
        <f t="shared" si="20"/>
        <v>-18405860.278827291</v>
      </c>
      <c r="I197" s="8">
        <v>0.10100000000000001</v>
      </c>
      <c r="J197" s="10">
        <f t="shared" si="19"/>
        <v>8.4166666666666678E-3</v>
      </c>
    </row>
    <row r="198" spans="1:10" x14ac:dyDescent="0.35">
      <c r="A198" s="2">
        <v>196</v>
      </c>
      <c r="B198" s="6">
        <v>50345</v>
      </c>
      <c r="C198" s="9">
        <f t="shared" si="21"/>
        <v>-18405860.278827291</v>
      </c>
      <c r="D198" s="9">
        <v>90000</v>
      </c>
      <c r="E198" s="9">
        <f t="shared" si="22"/>
        <v>244915.99068012973</v>
      </c>
      <c r="F198" s="9">
        <f t="shared" si="23"/>
        <v>-154915.99068012973</v>
      </c>
      <c r="G198" s="3">
        <v>0</v>
      </c>
      <c r="H198" s="3">
        <f t="shared" si="20"/>
        <v>-18650776.269507419</v>
      </c>
      <c r="I198" s="8">
        <v>0.10100000000000001</v>
      </c>
      <c r="J198" s="10">
        <f t="shared" si="19"/>
        <v>8.4166666666666678E-3</v>
      </c>
    </row>
    <row r="199" spans="1:10" x14ac:dyDescent="0.35">
      <c r="A199" s="2">
        <v>197</v>
      </c>
      <c r="B199" s="6">
        <v>50375</v>
      </c>
      <c r="C199" s="9">
        <f t="shared" si="21"/>
        <v>-18650776.269507419</v>
      </c>
      <c r="D199" s="9">
        <v>90000</v>
      </c>
      <c r="E199" s="9">
        <f t="shared" si="22"/>
        <v>246977.36693502081</v>
      </c>
      <c r="F199" s="9">
        <f t="shared" si="23"/>
        <v>-156977.36693502081</v>
      </c>
      <c r="G199" s="2">
        <v>0</v>
      </c>
      <c r="H199" s="3">
        <f t="shared" si="20"/>
        <v>-18897753.636442441</v>
      </c>
      <c r="I199" s="8">
        <v>0.10100000000000001</v>
      </c>
      <c r="J199" s="10">
        <f t="shared" si="19"/>
        <v>8.4166666666666678E-3</v>
      </c>
    </row>
    <row r="200" spans="1:10" x14ac:dyDescent="0.35">
      <c r="A200" s="2">
        <v>198</v>
      </c>
      <c r="B200" s="6">
        <v>50406</v>
      </c>
      <c r="C200" s="9">
        <f t="shared" si="21"/>
        <v>-18897753.636442441</v>
      </c>
      <c r="D200" s="9">
        <v>90000</v>
      </c>
      <c r="E200" s="9">
        <f t="shared" si="22"/>
        <v>249056.09310672391</v>
      </c>
      <c r="F200" s="9">
        <f t="shared" si="23"/>
        <v>-159056.09310672391</v>
      </c>
      <c r="G200" s="3">
        <v>0</v>
      </c>
      <c r="H200" s="3">
        <f t="shared" si="20"/>
        <v>-19146809.729549166</v>
      </c>
      <c r="I200" s="8">
        <v>0.10100000000000001</v>
      </c>
      <c r="J200" s="10">
        <f t="shared" si="19"/>
        <v>8.4166666666666678E-3</v>
      </c>
    </row>
    <row r="201" spans="1:10" x14ac:dyDescent="0.35">
      <c r="A201" s="2">
        <v>199</v>
      </c>
      <c r="B201" s="6">
        <v>50437</v>
      </c>
      <c r="C201" s="9">
        <f t="shared" si="21"/>
        <v>-19146809.729549166</v>
      </c>
      <c r="D201" s="9">
        <v>90000</v>
      </c>
      <c r="E201" s="9">
        <f t="shared" si="22"/>
        <v>251152.31522370549</v>
      </c>
      <c r="F201" s="9">
        <f t="shared" si="23"/>
        <v>-161152.31522370549</v>
      </c>
      <c r="G201" s="3">
        <v>0</v>
      </c>
      <c r="H201" s="3">
        <f t="shared" si="20"/>
        <v>-19397962.044772871</v>
      </c>
      <c r="I201" s="8">
        <v>0.10100000000000001</v>
      </c>
      <c r="J201" s="10">
        <f t="shared" si="19"/>
        <v>8.4166666666666678E-3</v>
      </c>
    </row>
    <row r="202" spans="1:10" x14ac:dyDescent="0.35">
      <c r="A202" s="2">
        <v>200</v>
      </c>
      <c r="B202" s="6">
        <v>50465</v>
      </c>
      <c r="C202" s="9">
        <f t="shared" si="21"/>
        <v>-19397962.044772871</v>
      </c>
      <c r="D202" s="9">
        <v>90000</v>
      </c>
      <c r="E202" s="9">
        <f t="shared" si="22"/>
        <v>253266.180543505</v>
      </c>
      <c r="F202" s="9">
        <f t="shared" si="23"/>
        <v>-163266.180543505</v>
      </c>
      <c r="G202" s="2">
        <v>0</v>
      </c>
      <c r="H202" s="3">
        <f t="shared" si="20"/>
        <v>-19651228.225316375</v>
      </c>
      <c r="I202" s="8">
        <v>0.10100000000000001</v>
      </c>
      <c r="J202" s="10">
        <f t="shared" si="19"/>
        <v>8.4166666666666678E-3</v>
      </c>
    </row>
    <row r="203" spans="1:10" x14ac:dyDescent="0.35">
      <c r="A203" s="2">
        <v>201</v>
      </c>
      <c r="B203" s="6">
        <v>50496</v>
      </c>
      <c r="C203" s="9">
        <f t="shared" si="21"/>
        <v>-19651228.225316375</v>
      </c>
      <c r="D203" s="9">
        <v>90000</v>
      </c>
      <c r="E203" s="9">
        <f t="shared" si="22"/>
        <v>255397.83756307952</v>
      </c>
      <c r="F203" s="9">
        <f t="shared" si="23"/>
        <v>-165397.83756307952</v>
      </c>
      <c r="G203" s="3">
        <v>0</v>
      </c>
      <c r="H203" s="3">
        <f t="shared" si="20"/>
        <v>-19906626.062879454</v>
      </c>
      <c r="I203" s="8">
        <v>0.10100000000000001</v>
      </c>
      <c r="J203" s="10">
        <f t="shared" si="19"/>
        <v>8.4166666666666678E-3</v>
      </c>
    </row>
    <row r="204" spans="1:10" x14ac:dyDescent="0.35">
      <c r="A204" s="2">
        <v>202</v>
      </c>
      <c r="B204" s="6">
        <v>50526</v>
      </c>
      <c r="C204" s="9">
        <f t="shared" si="21"/>
        <v>-19906626.062879454</v>
      </c>
      <c r="D204" s="9">
        <v>90000</v>
      </c>
      <c r="E204" s="9">
        <f t="shared" si="22"/>
        <v>257547.43602923542</v>
      </c>
      <c r="F204" s="9">
        <f t="shared" si="23"/>
        <v>-167547.43602923542</v>
      </c>
      <c r="G204" s="3">
        <v>0</v>
      </c>
      <c r="H204" s="3">
        <f t="shared" si="20"/>
        <v>-20164173.498908691</v>
      </c>
      <c r="I204" s="8">
        <v>0.10100000000000001</v>
      </c>
      <c r="J204" s="10">
        <f t="shared" si="19"/>
        <v>8.4166666666666678E-3</v>
      </c>
    </row>
    <row r="205" spans="1:10" x14ac:dyDescent="0.35">
      <c r="A205" s="2">
        <v>203</v>
      </c>
      <c r="B205" s="6">
        <v>50557</v>
      </c>
      <c r="C205" s="9">
        <f t="shared" si="21"/>
        <v>-20164173.498908691</v>
      </c>
      <c r="D205" s="9">
        <v>90000</v>
      </c>
      <c r="E205" s="9">
        <f t="shared" si="22"/>
        <v>259715.12694914817</v>
      </c>
      <c r="F205" s="9">
        <f t="shared" si="23"/>
        <v>-169715.12694914817</v>
      </c>
      <c r="G205" s="2">
        <v>0</v>
      </c>
      <c r="H205" s="3">
        <f t="shared" si="20"/>
        <v>-20423888.625857837</v>
      </c>
      <c r="I205" s="8">
        <v>0.10100000000000001</v>
      </c>
      <c r="J205" s="10">
        <f t="shared" si="19"/>
        <v>8.4166666666666678E-3</v>
      </c>
    </row>
    <row r="206" spans="1:10" x14ac:dyDescent="0.35">
      <c r="A206" s="2">
        <v>204</v>
      </c>
      <c r="B206" s="6">
        <v>50587</v>
      </c>
      <c r="C206" s="9">
        <f t="shared" si="21"/>
        <v>-20423888.625857837</v>
      </c>
      <c r="D206" s="9">
        <v>90000</v>
      </c>
      <c r="E206" s="9">
        <f t="shared" si="22"/>
        <v>261901.06260097015</v>
      </c>
      <c r="F206" s="9">
        <f t="shared" si="23"/>
        <v>-171901.06260097015</v>
      </c>
      <c r="G206" s="3">
        <v>0</v>
      </c>
      <c r="H206" s="3">
        <f t="shared" si="20"/>
        <v>-20685789.688458808</v>
      </c>
      <c r="I206" s="8">
        <v>0.10100000000000001</v>
      </c>
      <c r="J206" s="10">
        <f t="shared" si="19"/>
        <v>8.4166666666666678E-3</v>
      </c>
    </row>
    <row r="207" spans="1:10" x14ac:dyDescent="0.35">
      <c r="A207" s="2">
        <v>205</v>
      </c>
      <c r="B207" s="6">
        <v>50618</v>
      </c>
      <c r="C207" s="9">
        <f t="shared" si="21"/>
        <v>-20685789.688458808</v>
      </c>
      <c r="D207" s="9">
        <v>90000</v>
      </c>
      <c r="E207" s="9">
        <f t="shared" si="22"/>
        <v>264105.39654452831</v>
      </c>
      <c r="F207" s="9">
        <f t="shared" si="23"/>
        <v>-174105.39654452831</v>
      </c>
      <c r="G207" s="3">
        <v>0</v>
      </c>
      <c r="H207" s="3">
        <f t="shared" si="20"/>
        <v>-20949895.085003335</v>
      </c>
      <c r="I207" s="8">
        <v>0.10100000000000001</v>
      </c>
      <c r="J207" s="10">
        <f t="shared" si="19"/>
        <v>8.4166666666666678E-3</v>
      </c>
    </row>
    <row r="208" spans="1:10" x14ac:dyDescent="0.35">
      <c r="A208" s="2">
        <v>206</v>
      </c>
      <c r="B208" s="6">
        <v>50649</v>
      </c>
      <c r="C208" s="9">
        <f t="shared" si="21"/>
        <v>-20949895.085003335</v>
      </c>
      <c r="D208" s="9">
        <v>90000</v>
      </c>
      <c r="E208" s="9">
        <f t="shared" si="22"/>
        <v>266328.28363211139</v>
      </c>
      <c r="F208" s="9">
        <f t="shared" si="23"/>
        <v>-176328.28363211142</v>
      </c>
      <c r="G208" s="2">
        <v>0</v>
      </c>
      <c r="H208" s="3">
        <f t="shared" si="20"/>
        <v>-21216223.368635446</v>
      </c>
      <c r="I208" s="8">
        <v>0.10100000000000001</v>
      </c>
      <c r="J208" s="10">
        <f t="shared" si="19"/>
        <v>8.4166666666666678E-3</v>
      </c>
    </row>
    <row r="209" spans="1:10" x14ac:dyDescent="0.35">
      <c r="A209" s="2">
        <v>207</v>
      </c>
      <c r="B209" s="6">
        <v>50679</v>
      </c>
      <c r="C209" s="9">
        <f t="shared" si="21"/>
        <v>-21216223.368635446</v>
      </c>
      <c r="D209" s="9">
        <v>90000</v>
      </c>
      <c r="E209" s="9">
        <f t="shared" si="22"/>
        <v>268569.88001934835</v>
      </c>
      <c r="F209" s="9">
        <f t="shared" si="23"/>
        <v>-178569.88001934835</v>
      </c>
      <c r="G209" s="3">
        <v>0</v>
      </c>
      <c r="H209" s="3">
        <f t="shared" si="20"/>
        <v>-21484793.248654794</v>
      </c>
      <c r="I209" s="8">
        <v>0.10100000000000001</v>
      </c>
      <c r="J209" s="10">
        <f t="shared" si="19"/>
        <v>8.4166666666666678E-3</v>
      </c>
    </row>
    <row r="210" spans="1:10" x14ac:dyDescent="0.35">
      <c r="A210" s="2">
        <v>208</v>
      </c>
      <c r="B210" s="6">
        <v>50710</v>
      </c>
      <c r="C210" s="9">
        <f t="shared" si="21"/>
        <v>-21484793.248654794</v>
      </c>
      <c r="D210" s="9">
        <v>90000</v>
      </c>
      <c r="E210" s="9">
        <f t="shared" si="22"/>
        <v>270830.34317617788</v>
      </c>
      <c r="F210" s="9">
        <f t="shared" si="23"/>
        <v>-180830.34317617788</v>
      </c>
      <c r="G210" s="3">
        <v>0</v>
      </c>
      <c r="H210" s="3">
        <f t="shared" si="20"/>
        <v>-21755623.591830973</v>
      </c>
      <c r="I210" s="8">
        <v>0.10100000000000001</v>
      </c>
      <c r="J210" s="10">
        <f t="shared" si="19"/>
        <v>8.4166666666666678E-3</v>
      </c>
    </row>
    <row r="211" spans="1:10" x14ac:dyDescent="0.35">
      <c r="A211" s="2">
        <v>209</v>
      </c>
      <c r="B211" s="6">
        <v>50740</v>
      </c>
      <c r="C211" s="9">
        <f t="shared" si="21"/>
        <v>-21755623.591830973</v>
      </c>
      <c r="D211" s="9">
        <v>90000</v>
      </c>
      <c r="E211" s="9">
        <f t="shared" si="22"/>
        <v>273109.83189791068</v>
      </c>
      <c r="F211" s="9">
        <f t="shared" si="23"/>
        <v>-183109.83189791071</v>
      </c>
      <c r="G211" s="2">
        <v>0</v>
      </c>
      <c r="H211" s="3">
        <f t="shared" si="20"/>
        <v>-22028733.423728883</v>
      </c>
      <c r="I211" s="8">
        <v>0.10100000000000001</v>
      </c>
      <c r="J211" s="10">
        <f t="shared" si="19"/>
        <v>8.4166666666666678E-3</v>
      </c>
    </row>
    <row r="212" spans="1:10" x14ac:dyDescent="0.35">
      <c r="A212" s="2">
        <v>210</v>
      </c>
      <c r="B212" s="6">
        <v>50771</v>
      </c>
      <c r="C212" s="9">
        <f t="shared" si="21"/>
        <v>-22028733.423728883</v>
      </c>
      <c r="D212" s="9">
        <v>90000</v>
      </c>
      <c r="E212" s="9">
        <f t="shared" si="22"/>
        <v>275408.50631638477</v>
      </c>
      <c r="F212" s="9">
        <f t="shared" si="23"/>
        <v>-185408.5063163848</v>
      </c>
      <c r="G212" s="3">
        <v>0</v>
      </c>
      <c r="H212" s="3">
        <f t="shared" si="20"/>
        <v>-22304141.930045269</v>
      </c>
      <c r="I212" s="8">
        <v>0.10100000000000001</v>
      </c>
      <c r="J212" s="10">
        <f t="shared" si="19"/>
        <v>8.4166666666666678E-3</v>
      </c>
    </row>
    <row r="213" spans="1:10" x14ac:dyDescent="0.35">
      <c r="A213" s="2">
        <v>211</v>
      </c>
      <c r="B213" s="6">
        <v>50802</v>
      </c>
      <c r="C213" s="9">
        <f t="shared" si="21"/>
        <v>-22304141.930045269</v>
      </c>
      <c r="D213" s="9">
        <v>90000</v>
      </c>
      <c r="E213" s="9">
        <f t="shared" si="22"/>
        <v>277726.52791121439</v>
      </c>
      <c r="F213" s="9">
        <f t="shared" si="23"/>
        <v>-187726.52791121436</v>
      </c>
      <c r="G213" s="3">
        <v>0</v>
      </c>
      <c r="H213" s="3">
        <f t="shared" si="20"/>
        <v>-22581868.457956485</v>
      </c>
      <c r="I213" s="8">
        <v>0.10100000000000001</v>
      </c>
      <c r="J213" s="10">
        <f t="shared" si="19"/>
        <v>8.4166666666666678E-3</v>
      </c>
    </row>
    <row r="214" spans="1:10" x14ac:dyDescent="0.35">
      <c r="A214" s="2">
        <v>212</v>
      </c>
      <c r="B214" s="6">
        <v>50830</v>
      </c>
      <c r="C214" s="9">
        <f t="shared" si="21"/>
        <v>-22581868.457956485</v>
      </c>
      <c r="D214" s="9">
        <v>90000</v>
      </c>
      <c r="E214" s="9">
        <f t="shared" si="22"/>
        <v>280064.05952113378</v>
      </c>
      <c r="F214" s="9">
        <f t="shared" si="23"/>
        <v>-190064.05952113378</v>
      </c>
      <c r="G214" s="2">
        <v>0</v>
      </c>
      <c r="H214" s="3">
        <f t="shared" si="20"/>
        <v>-22861932.51747762</v>
      </c>
      <c r="I214" s="8">
        <v>0.10100000000000001</v>
      </c>
      <c r="J214" s="10">
        <f t="shared" si="19"/>
        <v>8.4166666666666678E-3</v>
      </c>
    </row>
    <row r="215" spans="1:10" x14ac:dyDescent="0.35">
      <c r="A215" s="2">
        <v>213</v>
      </c>
      <c r="B215" s="6">
        <v>50861</v>
      </c>
      <c r="C215" s="9">
        <f t="shared" si="21"/>
        <v>-22861932.51747762</v>
      </c>
      <c r="D215" s="9">
        <v>90000</v>
      </c>
      <c r="E215" s="9">
        <f t="shared" si="22"/>
        <v>282421.26535543666</v>
      </c>
      <c r="F215" s="9">
        <f t="shared" si="23"/>
        <v>-192421.26535543666</v>
      </c>
      <c r="G215" s="3">
        <v>0</v>
      </c>
      <c r="H215" s="3">
        <f t="shared" si="20"/>
        <v>-23144353.782833058</v>
      </c>
      <c r="I215" s="8">
        <v>0.10100000000000001</v>
      </c>
      <c r="J215" s="10">
        <f t="shared" si="19"/>
        <v>8.4166666666666678E-3</v>
      </c>
    </row>
    <row r="216" spans="1:10" x14ac:dyDescent="0.35">
      <c r="A216" s="2">
        <v>214</v>
      </c>
      <c r="B216" s="6">
        <v>50891</v>
      </c>
      <c r="C216" s="9">
        <f t="shared" si="21"/>
        <v>-23144353.782833058</v>
      </c>
      <c r="D216" s="9">
        <v>90000</v>
      </c>
      <c r="E216" s="9">
        <f t="shared" si="22"/>
        <v>284798.31100551161</v>
      </c>
      <c r="F216" s="9">
        <f t="shared" si="23"/>
        <v>-194798.31100551161</v>
      </c>
      <c r="G216" s="3">
        <v>0</v>
      </c>
      <c r="H216" s="3">
        <f t="shared" si="20"/>
        <v>-23429152.093838569</v>
      </c>
      <c r="I216" s="8">
        <v>0.10100000000000001</v>
      </c>
      <c r="J216" s="10">
        <f t="shared" si="19"/>
        <v>8.4166666666666678E-3</v>
      </c>
    </row>
    <row r="217" spans="1:10" x14ac:dyDescent="0.35">
      <c r="A217" s="2">
        <v>215</v>
      </c>
      <c r="B217" s="6">
        <v>50922</v>
      </c>
      <c r="C217" s="9">
        <f t="shared" si="21"/>
        <v>-23429152.093838569</v>
      </c>
      <c r="D217" s="9">
        <v>90000</v>
      </c>
      <c r="E217" s="9">
        <f t="shared" si="22"/>
        <v>287195.36345647462</v>
      </c>
      <c r="F217" s="9">
        <f t="shared" si="23"/>
        <v>-197195.36345647465</v>
      </c>
      <c r="G217" s="2">
        <v>0</v>
      </c>
      <c r="H217" s="3">
        <f t="shared" si="20"/>
        <v>-23716347.457295045</v>
      </c>
      <c r="I217" s="8">
        <v>0.10100000000000001</v>
      </c>
      <c r="J217" s="10">
        <f t="shared" si="19"/>
        <v>8.4166666666666678E-3</v>
      </c>
    </row>
    <row r="218" spans="1:10" x14ac:dyDescent="0.35">
      <c r="A218" s="2">
        <v>216</v>
      </c>
      <c r="B218" s="6">
        <v>50952</v>
      </c>
      <c r="C218" s="9">
        <f t="shared" si="21"/>
        <v>-23716347.457295045</v>
      </c>
      <c r="D218" s="9">
        <v>90000</v>
      </c>
      <c r="E218" s="9">
        <f t="shared" si="22"/>
        <v>289612.59109889995</v>
      </c>
      <c r="F218" s="9">
        <f t="shared" si="23"/>
        <v>-199612.59109889998</v>
      </c>
      <c r="G218" s="3">
        <v>0</v>
      </c>
      <c r="H218" s="3">
        <f t="shared" si="20"/>
        <v>-24005960.048393946</v>
      </c>
      <c r="I218" s="8">
        <v>0.10100000000000001</v>
      </c>
      <c r="J218" s="10">
        <f t="shared" si="19"/>
        <v>8.4166666666666678E-3</v>
      </c>
    </row>
    <row r="219" spans="1:10" x14ac:dyDescent="0.35">
      <c r="A219" s="2">
        <v>217</v>
      </c>
      <c r="B219" s="6">
        <v>50983</v>
      </c>
      <c r="C219" s="9">
        <f t="shared" si="21"/>
        <v>-24005960.048393946</v>
      </c>
      <c r="D219" s="9">
        <v>90000</v>
      </c>
      <c r="E219" s="9">
        <f t="shared" si="22"/>
        <v>292050.16374064906</v>
      </c>
      <c r="F219" s="9">
        <f t="shared" si="23"/>
        <v>-202050.16374064906</v>
      </c>
      <c r="G219" s="3">
        <v>0</v>
      </c>
      <c r="H219" s="3">
        <f t="shared" si="20"/>
        <v>-24298010.212134596</v>
      </c>
      <c r="I219" s="8">
        <v>0.10100000000000001</v>
      </c>
      <c r="J219" s="10">
        <f t="shared" si="19"/>
        <v>8.4166666666666678E-3</v>
      </c>
    </row>
    <row r="220" spans="1:10" x14ac:dyDescent="0.35">
      <c r="A220" s="2">
        <v>218</v>
      </c>
      <c r="B220" s="6">
        <v>51014</v>
      </c>
      <c r="C220" s="9">
        <f t="shared" si="21"/>
        <v>-24298010.212134596</v>
      </c>
      <c r="D220" s="9">
        <v>90000</v>
      </c>
      <c r="E220" s="9">
        <f t="shared" si="22"/>
        <v>294508.25261879957</v>
      </c>
      <c r="F220" s="9">
        <f t="shared" si="23"/>
        <v>-204508.25261879954</v>
      </c>
      <c r="G220" s="2">
        <v>0</v>
      </c>
      <c r="H220" s="3">
        <f t="shared" si="20"/>
        <v>-24592518.464753397</v>
      </c>
      <c r="I220" s="8">
        <v>0.10100000000000001</v>
      </c>
      <c r="J220" s="10">
        <f t="shared" si="19"/>
        <v>8.4166666666666678E-3</v>
      </c>
    </row>
    <row r="221" spans="1:10" x14ac:dyDescent="0.35">
      <c r="A221" s="2">
        <v>219</v>
      </c>
      <c r="B221" s="6">
        <v>51044</v>
      </c>
      <c r="C221" s="9">
        <f t="shared" si="21"/>
        <v>-24592518.464753397</v>
      </c>
      <c r="D221" s="9">
        <v>90000</v>
      </c>
      <c r="E221" s="9">
        <f t="shared" si="22"/>
        <v>296987.03041167441</v>
      </c>
      <c r="F221" s="9">
        <f t="shared" si="23"/>
        <v>-206987.03041167444</v>
      </c>
      <c r="G221" s="3">
        <v>0</v>
      </c>
      <c r="H221" s="3">
        <f t="shared" si="20"/>
        <v>-24889505.495165072</v>
      </c>
      <c r="I221" s="8">
        <v>0.10100000000000001</v>
      </c>
      <c r="J221" s="10">
        <f t="shared" si="19"/>
        <v>8.4166666666666678E-3</v>
      </c>
    </row>
    <row r="222" spans="1:10" x14ac:dyDescent="0.35">
      <c r="A222" s="2">
        <v>220</v>
      </c>
      <c r="B222" s="6">
        <v>51075</v>
      </c>
      <c r="C222" s="9">
        <f t="shared" si="21"/>
        <v>-24889505.495165072</v>
      </c>
      <c r="D222" s="9">
        <v>90000</v>
      </c>
      <c r="E222" s="9">
        <f t="shared" si="22"/>
        <v>299486.67125097272</v>
      </c>
      <c r="F222" s="9">
        <f t="shared" si="23"/>
        <v>-209486.67125097272</v>
      </c>
      <c r="G222" s="3">
        <v>0</v>
      </c>
      <c r="H222" s="3">
        <f t="shared" si="20"/>
        <v>-25188992.166416045</v>
      </c>
      <c r="I222" s="8">
        <v>0.10100000000000001</v>
      </c>
      <c r="J222" s="10">
        <f t="shared" si="19"/>
        <v>8.4166666666666678E-3</v>
      </c>
    </row>
    <row r="223" spans="1:10" x14ac:dyDescent="0.35">
      <c r="A223" s="2">
        <v>221</v>
      </c>
      <c r="B223" s="6">
        <v>51105</v>
      </c>
      <c r="C223" s="9">
        <f t="shared" si="21"/>
        <v>-25188992.166416045</v>
      </c>
      <c r="D223" s="9">
        <v>90000</v>
      </c>
      <c r="E223" s="9">
        <f t="shared" si="22"/>
        <v>302007.35073400172</v>
      </c>
      <c r="F223" s="9">
        <f t="shared" si="23"/>
        <v>-212007.35073400175</v>
      </c>
      <c r="G223" s="2">
        <v>0</v>
      </c>
      <c r="H223" s="3">
        <f t="shared" si="20"/>
        <v>-25490999.517150048</v>
      </c>
      <c r="I223" s="8">
        <v>0.10100000000000001</v>
      </c>
      <c r="J223" s="10">
        <f t="shared" si="19"/>
        <v>8.4166666666666678E-3</v>
      </c>
    </row>
    <row r="224" spans="1:10" x14ac:dyDescent="0.35">
      <c r="A224" s="2">
        <v>222</v>
      </c>
      <c r="B224" s="6">
        <v>51136</v>
      </c>
      <c r="C224" s="9">
        <f t="shared" si="21"/>
        <v>-25490999.517150048</v>
      </c>
      <c r="D224" s="9">
        <v>90000</v>
      </c>
      <c r="E224" s="9">
        <f t="shared" si="22"/>
        <v>304549.24593601294</v>
      </c>
      <c r="F224" s="9">
        <f t="shared" si="23"/>
        <v>-214549.24593601294</v>
      </c>
      <c r="G224" s="3">
        <v>0</v>
      </c>
      <c r="H224" s="3">
        <f t="shared" si="20"/>
        <v>-25795548.763086062</v>
      </c>
      <c r="I224" s="8">
        <v>0.10100000000000001</v>
      </c>
      <c r="J224" s="10">
        <f t="shared" si="19"/>
        <v>8.4166666666666678E-3</v>
      </c>
    </row>
    <row r="225" spans="1:10" x14ac:dyDescent="0.35">
      <c r="A225" s="2">
        <v>223</v>
      </c>
      <c r="B225" s="6">
        <v>51167</v>
      </c>
      <c r="C225" s="9">
        <f t="shared" si="21"/>
        <v>-25795548.763086062</v>
      </c>
      <c r="D225" s="9">
        <v>90000</v>
      </c>
      <c r="E225" s="9">
        <f t="shared" si="22"/>
        <v>307112.53542264109</v>
      </c>
      <c r="F225" s="9">
        <f t="shared" si="23"/>
        <v>-217112.53542264106</v>
      </c>
      <c r="G225" s="3">
        <v>0</v>
      </c>
      <c r="H225" s="3">
        <f t="shared" si="20"/>
        <v>-26102661.298508704</v>
      </c>
      <c r="I225" s="8">
        <v>0.10100000000000001</v>
      </c>
      <c r="J225" s="10">
        <f t="shared" si="19"/>
        <v>8.4166666666666678E-3</v>
      </c>
    </row>
    <row r="226" spans="1:10" x14ac:dyDescent="0.35">
      <c r="A226" s="2">
        <v>224</v>
      </c>
      <c r="B226" s="6">
        <v>51196</v>
      </c>
      <c r="C226" s="9">
        <f t="shared" si="21"/>
        <v>-26102661.298508704</v>
      </c>
      <c r="D226" s="9">
        <v>90000</v>
      </c>
      <c r="E226" s="9">
        <f t="shared" si="22"/>
        <v>309697.39926244831</v>
      </c>
      <c r="F226" s="9">
        <f t="shared" si="23"/>
        <v>-219697.39926244828</v>
      </c>
      <c r="G226" s="2">
        <v>0</v>
      </c>
      <c r="H226" s="3">
        <f t="shared" si="20"/>
        <v>-26412358.697771151</v>
      </c>
      <c r="I226" s="8">
        <v>0.10100000000000001</v>
      </c>
      <c r="J226" s="10">
        <f t="shared" si="19"/>
        <v>8.4166666666666678E-3</v>
      </c>
    </row>
    <row r="227" spans="1:10" x14ac:dyDescent="0.35">
      <c r="A227" s="2">
        <v>225</v>
      </c>
      <c r="B227" s="6">
        <v>51227</v>
      </c>
      <c r="C227" s="9">
        <f t="shared" si="21"/>
        <v>-26412358.697771151</v>
      </c>
      <c r="D227" s="9">
        <v>90000</v>
      </c>
      <c r="E227" s="9">
        <f t="shared" si="22"/>
        <v>312304.01903957385</v>
      </c>
      <c r="F227" s="9">
        <f t="shared" si="23"/>
        <v>-222304.01903957388</v>
      </c>
      <c r="G227" s="3">
        <v>0</v>
      </c>
      <c r="H227" s="3">
        <f t="shared" si="20"/>
        <v>-26724662.716810726</v>
      </c>
      <c r="I227" s="8">
        <v>0.10100000000000001</v>
      </c>
      <c r="J227" s="10">
        <f t="shared" si="19"/>
        <v>8.4166666666666678E-3</v>
      </c>
    </row>
    <row r="228" spans="1:10" x14ac:dyDescent="0.35">
      <c r="A228" s="2">
        <v>226</v>
      </c>
      <c r="B228" s="6">
        <v>51257</v>
      </c>
      <c r="C228" s="9">
        <f t="shared" si="21"/>
        <v>-26724662.716810726</v>
      </c>
      <c r="D228" s="9">
        <v>90000</v>
      </c>
      <c r="E228" s="9">
        <f t="shared" si="22"/>
        <v>314932.57786649029</v>
      </c>
      <c r="F228" s="9">
        <f t="shared" si="23"/>
        <v>-224932.57786649029</v>
      </c>
      <c r="G228" s="3">
        <v>0</v>
      </c>
      <c r="H228" s="3">
        <f t="shared" si="20"/>
        <v>-27039595.294677217</v>
      </c>
      <c r="I228" s="8">
        <v>0.10100000000000001</v>
      </c>
      <c r="J228" s="10">
        <f t="shared" si="19"/>
        <v>8.4166666666666678E-3</v>
      </c>
    </row>
    <row r="229" spans="1:10" x14ac:dyDescent="0.35">
      <c r="A229" s="2">
        <v>227</v>
      </c>
      <c r="B229" s="6">
        <v>51288</v>
      </c>
      <c r="C229" s="9">
        <f t="shared" si="21"/>
        <v>-27039595.294677217</v>
      </c>
      <c r="D229" s="9">
        <v>90000</v>
      </c>
      <c r="E229" s="9">
        <f t="shared" si="22"/>
        <v>317583.26039686659</v>
      </c>
      <c r="F229" s="9">
        <f t="shared" si="23"/>
        <v>-227583.26039686659</v>
      </c>
      <c r="G229" s="2">
        <v>0</v>
      </c>
      <c r="H229" s="3">
        <f t="shared" si="20"/>
        <v>-27357178.555074085</v>
      </c>
      <c r="I229" s="8">
        <v>0.10100000000000001</v>
      </c>
      <c r="J229" s="10">
        <f t="shared" si="19"/>
        <v>8.4166666666666678E-3</v>
      </c>
    </row>
    <row r="230" spans="1:10" x14ac:dyDescent="0.35">
      <c r="A230" s="2">
        <v>228</v>
      </c>
      <c r="B230" s="6">
        <v>51318</v>
      </c>
      <c r="C230" s="9">
        <f t="shared" si="21"/>
        <v>-27357178.555074085</v>
      </c>
      <c r="D230" s="9">
        <v>90000</v>
      </c>
      <c r="E230" s="9">
        <f t="shared" si="22"/>
        <v>320256.25283854024</v>
      </c>
      <c r="F230" s="9">
        <f t="shared" si="23"/>
        <v>-230256.25283854024</v>
      </c>
      <c r="G230" s="3">
        <v>0</v>
      </c>
      <c r="H230" s="3">
        <f t="shared" si="20"/>
        <v>-27677434.807912625</v>
      </c>
      <c r="I230" s="8">
        <v>0.10100000000000001</v>
      </c>
      <c r="J230" s="10">
        <f t="shared" si="19"/>
        <v>8.4166666666666678E-3</v>
      </c>
    </row>
    <row r="231" spans="1:10" x14ac:dyDescent="0.35">
      <c r="A231" s="2">
        <v>229</v>
      </c>
      <c r="B231" s="6">
        <v>51349</v>
      </c>
      <c r="C231" s="9">
        <f t="shared" si="21"/>
        <v>-27677434.807912625</v>
      </c>
      <c r="D231" s="9">
        <v>90000</v>
      </c>
      <c r="E231" s="9">
        <f t="shared" si="22"/>
        <v>322951.74296659796</v>
      </c>
      <c r="F231" s="9">
        <f t="shared" si="23"/>
        <v>-232951.74296659796</v>
      </c>
      <c r="G231" s="3">
        <v>0</v>
      </c>
      <c r="H231" s="3">
        <f t="shared" si="20"/>
        <v>-28000386.550879225</v>
      </c>
      <c r="I231" s="8">
        <v>0.10100000000000001</v>
      </c>
      <c r="J231" s="10">
        <f t="shared" si="19"/>
        <v>8.4166666666666678E-3</v>
      </c>
    </row>
    <row r="232" spans="1:10" x14ac:dyDescent="0.35">
      <c r="A232" s="2">
        <v>230</v>
      </c>
      <c r="B232" s="6">
        <v>51380</v>
      </c>
      <c r="C232" s="9">
        <f t="shared" si="21"/>
        <v>-28000386.550879225</v>
      </c>
      <c r="D232" s="9">
        <v>90000</v>
      </c>
      <c r="E232" s="9">
        <f t="shared" si="22"/>
        <v>325669.92013656686</v>
      </c>
      <c r="F232" s="9">
        <f t="shared" si="23"/>
        <v>-235669.92013656686</v>
      </c>
      <c r="G232" s="2">
        <v>0</v>
      </c>
      <c r="H232" s="3">
        <f t="shared" si="20"/>
        <v>-28326056.471015792</v>
      </c>
      <c r="I232" s="8">
        <v>0.10100000000000001</v>
      </c>
      <c r="J232" s="10">
        <f t="shared" si="19"/>
        <v>8.4166666666666678E-3</v>
      </c>
    </row>
    <row r="233" spans="1:10" x14ac:dyDescent="0.35">
      <c r="A233" s="2">
        <v>231</v>
      </c>
      <c r="B233" s="6">
        <v>51410</v>
      </c>
      <c r="C233" s="9">
        <f t="shared" si="21"/>
        <v>-28326056.471015792</v>
      </c>
      <c r="D233" s="9">
        <v>90000</v>
      </c>
      <c r="E233" s="9">
        <f t="shared" si="22"/>
        <v>328410.97529771627</v>
      </c>
      <c r="F233" s="9">
        <f t="shared" si="23"/>
        <v>-238410.97529771627</v>
      </c>
      <c r="G233" s="3">
        <v>0</v>
      </c>
      <c r="H233" s="3">
        <f t="shared" si="20"/>
        <v>-28654467.446313508</v>
      </c>
      <c r="I233" s="8">
        <v>0.10100000000000001</v>
      </c>
      <c r="J233" s="10">
        <f t="shared" si="19"/>
        <v>8.4166666666666678E-3</v>
      </c>
    </row>
    <row r="234" spans="1:10" x14ac:dyDescent="0.35">
      <c r="A234" s="2">
        <v>232</v>
      </c>
      <c r="B234" s="6">
        <v>51441</v>
      </c>
      <c r="C234" s="9">
        <f t="shared" si="21"/>
        <v>-28654467.446313508</v>
      </c>
      <c r="D234" s="9">
        <v>90000</v>
      </c>
      <c r="E234" s="9">
        <f t="shared" si="22"/>
        <v>331175.10100647202</v>
      </c>
      <c r="F234" s="9">
        <f t="shared" si="23"/>
        <v>-241175.10100647205</v>
      </c>
      <c r="G234" s="3">
        <v>0</v>
      </c>
      <c r="H234" s="3">
        <f t="shared" si="20"/>
        <v>-28985642.547319978</v>
      </c>
      <c r="I234" s="8">
        <v>0.10100000000000001</v>
      </c>
      <c r="J234" s="10">
        <f t="shared" si="19"/>
        <v>8.4166666666666678E-3</v>
      </c>
    </row>
    <row r="235" spans="1:10" x14ac:dyDescent="0.35">
      <c r="A235" s="2">
        <v>233</v>
      </c>
      <c r="B235" s="6">
        <v>51471</v>
      </c>
      <c r="C235" s="9">
        <f t="shared" si="21"/>
        <v>-28985642.547319978</v>
      </c>
      <c r="D235" s="9">
        <v>90000</v>
      </c>
      <c r="E235" s="9">
        <f t="shared" si="22"/>
        <v>333962.4914399432</v>
      </c>
      <c r="F235" s="9">
        <f t="shared" si="23"/>
        <v>-243962.49143994317</v>
      </c>
      <c r="G235" s="2">
        <v>0</v>
      </c>
      <c r="H235" s="3">
        <f t="shared" si="20"/>
        <v>-29319605.038759921</v>
      </c>
      <c r="I235" s="8">
        <v>0.10100000000000001</v>
      </c>
      <c r="J235" s="10">
        <f t="shared" si="19"/>
        <v>8.4166666666666678E-3</v>
      </c>
    </row>
    <row r="236" spans="1:10" x14ac:dyDescent="0.35">
      <c r="A236" s="2">
        <v>234</v>
      </c>
      <c r="B236" s="6">
        <v>51502</v>
      </c>
      <c r="C236" s="9">
        <f t="shared" si="21"/>
        <v>-29319605.038759921</v>
      </c>
      <c r="D236" s="9">
        <v>90000</v>
      </c>
      <c r="E236" s="9">
        <f t="shared" si="22"/>
        <v>336773.34240956267</v>
      </c>
      <c r="F236" s="9">
        <f t="shared" si="23"/>
        <v>-246773.3424095627</v>
      </c>
      <c r="G236" s="3">
        <v>0</v>
      </c>
      <c r="H236" s="3">
        <f t="shared" si="20"/>
        <v>-29656378.381169483</v>
      </c>
      <c r="I236" s="8">
        <v>0.10100000000000001</v>
      </c>
      <c r="J236" s="10">
        <f t="shared" si="19"/>
        <v>8.4166666666666678E-3</v>
      </c>
    </row>
    <row r="237" spans="1:10" x14ac:dyDescent="0.35">
      <c r="A237" s="2">
        <v>235</v>
      </c>
      <c r="B237" s="6">
        <v>51533</v>
      </c>
      <c r="C237" s="9">
        <f t="shared" si="21"/>
        <v>-29656378.381169483</v>
      </c>
      <c r="D237" s="9">
        <v>90000</v>
      </c>
      <c r="E237" s="9">
        <f t="shared" si="22"/>
        <v>339607.85137484316</v>
      </c>
      <c r="F237" s="9">
        <f t="shared" si="23"/>
        <v>-249607.85137484319</v>
      </c>
      <c r="G237" s="3">
        <v>0</v>
      </c>
      <c r="H237" s="3">
        <f t="shared" si="20"/>
        <v>-29995986.232544325</v>
      </c>
      <c r="I237" s="8">
        <v>0.10100000000000001</v>
      </c>
      <c r="J237" s="10">
        <f t="shared" si="19"/>
        <v>8.4166666666666678E-3</v>
      </c>
    </row>
    <row r="238" spans="1:10" x14ac:dyDescent="0.35">
      <c r="A238" s="2">
        <v>236</v>
      </c>
      <c r="B238" s="6">
        <v>51561</v>
      </c>
      <c r="C238" s="9">
        <f t="shared" si="21"/>
        <v>-29995986.232544325</v>
      </c>
      <c r="D238" s="9">
        <v>90000</v>
      </c>
      <c r="E238" s="9">
        <f t="shared" si="22"/>
        <v>342466.21745724813</v>
      </c>
      <c r="F238" s="9">
        <f t="shared" si="23"/>
        <v>-252466.2174572481</v>
      </c>
      <c r="G238" s="2">
        <v>0</v>
      </c>
      <c r="H238" s="3">
        <f t="shared" si="20"/>
        <v>-30338452.450001575</v>
      </c>
      <c r="I238" s="8">
        <v>0.10100000000000001</v>
      </c>
      <c r="J238" s="10">
        <f t="shared" si="19"/>
        <v>8.4166666666666678E-3</v>
      </c>
    </row>
    <row r="239" spans="1:10" x14ac:dyDescent="0.35">
      <c r="A239" s="2">
        <v>237</v>
      </c>
      <c r="B239" s="6">
        <v>51592</v>
      </c>
      <c r="C239" s="9">
        <f t="shared" si="21"/>
        <v>-30338452.450001575</v>
      </c>
      <c r="D239" s="9">
        <v>90000</v>
      </c>
      <c r="E239" s="9">
        <f t="shared" si="22"/>
        <v>345348.64145417995</v>
      </c>
      <c r="F239" s="9">
        <f t="shared" si="23"/>
        <v>-255348.64145417995</v>
      </c>
      <c r="G239" s="3">
        <v>0</v>
      </c>
      <c r="H239" s="3">
        <f t="shared" si="20"/>
        <v>-30683801.091455754</v>
      </c>
      <c r="I239" s="8">
        <v>0.10100000000000001</v>
      </c>
      <c r="J239" s="10">
        <f t="shared" si="19"/>
        <v>8.4166666666666678E-3</v>
      </c>
    </row>
    <row r="240" spans="1:10" x14ac:dyDescent="0.35">
      <c r="A240" s="2">
        <v>238</v>
      </c>
      <c r="B240" s="6">
        <v>51622</v>
      </c>
      <c r="C240" s="9">
        <f t="shared" si="21"/>
        <v>-30683801.091455754</v>
      </c>
      <c r="D240" s="9">
        <v>90000</v>
      </c>
      <c r="E240" s="9">
        <f t="shared" si="22"/>
        <v>348255.32585308596</v>
      </c>
      <c r="F240" s="9">
        <f t="shared" si="23"/>
        <v>-258255.32585308596</v>
      </c>
      <c r="G240" s="3">
        <v>0</v>
      </c>
      <c r="H240" s="3">
        <f t="shared" si="20"/>
        <v>-31032056.417308841</v>
      </c>
      <c r="I240" s="8">
        <v>0.10100000000000001</v>
      </c>
      <c r="J240" s="10">
        <f t="shared" si="19"/>
        <v>8.4166666666666678E-3</v>
      </c>
    </row>
    <row r="241" spans="1:10" x14ac:dyDescent="0.35">
      <c r="A241" s="2">
        <v>239</v>
      </c>
      <c r="B241" s="6">
        <v>51653</v>
      </c>
      <c r="C241" s="9">
        <f t="shared" si="21"/>
        <v>-31032056.417308841</v>
      </c>
      <c r="D241" s="9">
        <v>90000</v>
      </c>
      <c r="E241" s="9">
        <f t="shared" si="22"/>
        <v>351186.47484568274</v>
      </c>
      <c r="F241" s="9">
        <f t="shared" si="23"/>
        <v>-261186.47484568277</v>
      </c>
      <c r="G241" s="2">
        <v>0</v>
      </c>
      <c r="H241" s="3">
        <f t="shared" si="20"/>
        <v>-31383242.892154522</v>
      </c>
      <c r="I241" s="8">
        <v>0.10100000000000001</v>
      </c>
      <c r="J241" s="10">
        <f t="shared" si="19"/>
        <v>8.4166666666666678E-3</v>
      </c>
    </row>
    <row r="242" spans="1:10" x14ac:dyDescent="0.35">
      <c r="A242" s="2">
        <v>240</v>
      </c>
      <c r="B242" s="6">
        <v>51683</v>
      </c>
      <c r="C242" s="9">
        <f t="shared" si="21"/>
        <v>-31383242.892154522</v>
      </c>
      <c r="D242" s="9">
        <v>90000</v>
      </c>
      <c r="E242" s="9">
        <f t="shared" si="22"/>
        <v>354142.29434230062</v>
      </c>
      <c r="F242" s="9">
        <f t="shared" si="23"/>
        <v>-264142.29434230062</v>
      </c>
      <c r="G242" s="3">
        <v>0</v>
      </c>
      <c r="H242" s="3">
        <f t="shared" si="20"/>
        <v>-31737385.186496824</v>
      </c>
      <c r="I242" s="8">
        <v>0.10100000000000001</v>
      </c>
      <c r="J242" s="10">
        <f t="shared" si="19"/>
        <v>8.4166666666666678E-3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SMITHIN DAS</dc:creator>
  <cp:keywords/>
  <dc:description/>
  <cp:lastModifiedBy>SMITHIN DAS</cp:lastModifiedBy>
  <cp:revision/>
  <dcterms:created xsi:type="dcterms:W3CDTF">2021-12-27T11:54:46Z</dcterms:created>
  <dcterms:modified xsi:type="dcterms:W3CDTF">2024-07-27T12:50:56Z</dcterms:modified>
  <cp:category/>
  <cp:contentStatus/>
</cp:coreProperties>
</file>